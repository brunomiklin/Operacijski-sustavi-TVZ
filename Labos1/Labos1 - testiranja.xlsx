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bruno/Desktop/Operacijski sutavi/Labos1/"/>
    </mc:Choice>
  </mc:AlternateContent>
  <xr:revisionPtr revIDLastSave="0" documentId="13_ncr:1_{9E8B8ECB-79ED-DE4D-B9C5-BD571BE70107}" xr6:coauthVersionLast="47" xr6:coauthVersionMax="47" xr10:uidLastSave="{00000000-0000-0000-0000-000000000000}"/>
  <bookViews>
    <workbookView xWindow="0" yWindow="500" windowWidth="35840" windowHeight="2042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" i="1" l="1" a="1"/>
  <c r="C72" i="1" s="1"/>
  <c r="I107" i="1" a="1"/>
  <c r="I107" i="1"/>
  <c r="H107" i="1" a="1"/>
  <c r="H107" i="1" s="1"/>
  <c r="G107" i="1" a="1"/>
  <c r="G107" i="1" s="1"/>
  <c r="F107" i="1" a="1"/>
  <c r="F107" i="1" s="1"/>
  <c r="E107" i="1" a="1"/>
  <c r="E107" i="1" s="1"/>
  <c r="D107" i="1" a="1"/>
  <c r="D107" i="1" s="1"/>
  <c r="C107" i="1" a="1"/>
  <c r="C107" i="1" s="1"/>
  <c r="I105" i="1"/>
  <c r="H105" i="1"/>
  <c r="G105" i="1"/>
  <c r="F105" i="1"/>
  <c r="E105" i="1"/>
  <c r="D105" i="1"/>
  <c r="C105" i="1"/>
  <c r="C70" i="1"/>
  <c r="I72" i="1" l="1" a="1"/>
  <c r="I72" i="1" s="1"/>
  <c r="I70" i="1"/>
  <c r="H70" i="1"/>
  <c r="H72" i="1" s="1" a="1"/>
  <c r="H72" i="1" s="1"/>
  <c r="G70" i="1"/>
  <c r="G72" i="1" s="1" a="1"/>
  <c r="G72" i="1" s="1"/>
  <c r="F70" i="1"/>
  <c r="F72" i="1" s="1" a="1"/>
  <c r="F72" i="1" s="1"/>
  <c r="E70" i="1"/>
  <c r="E72" i="1" s="1" a="1"/>
  <c r="E72" i="1" s="1"/>
  <c r="D70" i="1" l="1"/>
  <c r="D72" i="1" s="1" a="1"/>
  <c r="D72" i="1" s="1"/>
  <c r="I37" i="1" l="1"/>
  <c r="I39" i="1" s="1"/>
  <c r="H37" i="1" l="1"/>
  <c r="H39" i="1" s="1"/>
  <c r="G37" i="1"/>
  <c r="G39" i="1" s="1"/>
  <c r="F37" i="1"/>
  <c r="F39" i="1" s="1"/>
  <c r="E39" i="1"/>
  <c r="E37" i="1"/>
  <c r="D37" i="1"/>
  <c r="D39" i="1" s="1"/>
  <c r="C37" i="1"/>
  <c r="C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<sst xmlns="http://schemas.openxmlformats.org/spreadsheetml/2006/main" count="100" uniqueCount="32">
  <si>
    <t>1. mjerenje</t>
  </si>
  <si>
    <t>2. mjerenje</t>
  </si>
  <si>
    <t>3. mjerenje</t>
  </si>
  <si>
    <t>4. mjerenje</t>
  </si>
  <si>
    <t>5. mjerenje</t>
  </si>
  <si>
    <t>7. mjerenje</t>
  </si>
  <si>
    <t>6. mjerenje</t>
  </si>
  <si>
    <t>8. mjerenje</t>
  </si>
  <si>
    <t>9. mjerenje</t>
  </si>
  <si>
    <t>10. mjerenje</t>
  </si>
  <si>
    <t>11. mjerenje</t>
  </si>
  <si>
    <t>12. mjerenje</t>
  </si>
  <si>
    <t>13. mjerenje</t>
  </si>
  <si>
    <t>14. mjerenje</t>
  </si>
  <si>
    <t>15. mjerenje</t>
  </si>
  <si>
    <t>16. mjerenje</t>
  </si>
  <si>
    <t>17. mjerenje</t>
  </si>
  <si>
    <t>18. mjerenje</t>
  </si>
  <si>
    <t>19. mjerenje</t>
  </si>
  <si>
    <t>20. mjerenje</t>
  </si>
  <si>
    <t>Standardne funkcije C-a</t>
  </si>
  <si>
    <t>Sistemski pozivi</t>
  </si>
  <si>
    <t>Maksimalno odstupanje:</t>
  </si>
  <si>
    <t>Artmetička sredina:</t>
  </si>
  <si>
    <t>NAREDBA CP</t>
  </si>
  <si>
    <t>datoteka veličine 1 bajt (mala.dat)</t>
  </si>
  <si>
    <t>datoteka veličine 100 MB (srednja.dat)</t>
  </si>
  <si>
    <t>datoteka veličine 1 GB (velika.dat)</t>
  </si>
  <si>
    <t>LABOS 1</t>
  </si>
  <si>
    <t>buffer = 512 bajta</t>
  </si>
  <si>
    <t>buffer = 1 bajta</t>
  </si>
  <si>
    <t>buffer = 1024 bajta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</si>
</sst>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100"/>
      <color theme="3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5"/>
      <color theme="0"/>
      <name val="Calibri"/>
      <family val="2"/>
      <scheme val="minor"/>
    </font>
    <font>
      <b/>
      <sz val="23"/>
      <color theme="0"/>
      <name val="Calibri"/>
      <family val="2"/>
      <scheme val="minor"/>
    </font>
    <font>
      <b/>
      <sz val="25"/>
      <color theme="4"/>
      <name val="Calibri"/>
      <family val="2"/>
      <scheme val="minor"/>
    </font>
    <font>
      <b/>
      <sz val="30"/>
      <color theme="3" tint="-0.249977111117893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25"/>
      <color rgb="FFFF474B"/>
      <name val="Calibri"/>
      <family val="2"/>
      <scheme val="minor"/>
    </font>
    <font>
      <sz val="22"/>
      <color theme="9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rgb="FF00B050"/>
      <name val="Calibri"/>
      <family val="2"/>
      <scheme val="minor"/>
    </font>
    <font>
      <sz val="25"/>
      <color rgb="FFFF0000"/>
      <name val="Calibri"/>
      <family val="2"/>
      <scheme val="minor"/>
    </font>
    <font>
      <sz val="25"/>
      <color theme="9"/>
      <name val="Calibri"/>
      <family val="2"/>
      <scheme val="minor"/>
    </font>
    <font>
      <sz val="25"/>
      <color rgb="FF92D050"/>
      <name val="Calibri"/>
      <family val="2"/>
      <scheme val="minor"/>
    </font>
    <font>
      <sz val="22"/>
      <color rgb="FF92D050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rgb="FF92D050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62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164" fontId="11" fillId="0" borderId="0" xfId="0" applyNumberFormat="1" applyFont="1"/>
    <xf numFmtId="0" fontId="15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4" fillId="0" borderId="0" xfId="0" applyFont="1"/>
    <xf numFmtId="0" fontId="20" fillId="0" borderId="14" xfId="0" applyFont="1" applyBorder="1" applyAlignment="1">
      <alignment horizontal="center" vertical="center"/>
    </xf>
    <xf numFmtId="164" fontId="3" fillId="0" borderId="0" xfId="0" applyNumberFormat="1" applyFont="1"/>
    <xf numFmtId="0" fontId="15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8EC2FEFF-F600-4124-BE42-16D90E7ADC6E}"/>
  </cellStyles>
  <dxfs count="2">
    <dxf>
      <font>
        <color theme="9"/>
      </font>
      <fill>
        <patternFill patternType="none">
          <bgColor auto="1"/>
        </patternFill>
      </fill>
    </dxf>
    <dxf>
      <font>
        <color rgb="FFFF474B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47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Odnosi</a:t>
            </a:r>
            <a:r>
              <a:rPr lang="en-US" baseline="0"/>
              <a:t> standarnih funckija, sistemskih poziva i naredbe CP  prikazani na grafu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Standarne funkcije, 1 bajt, mala.dat</c:v>
          </c:tx>
          <c:spPr>
            <a:ln w="28575" cap="rnd">
              <a:solidFill>
                <a:schemeClr val="accent5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(List1!$C$17:$C$23,List1!$C$25:$C$35)</c15:sqref>
                  </c15:fullRef>
                </c:ext>
              </c:extLst>
              <c:f>(List1!$C$17:$C$20,List1!$C$23,List1!$C$25:$C$35)</c:f>
              <c:numCache>
                <c:formatCode>General</c:formatCode>
                <c:ptCount val="16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B7-A04F-B389-E89E26E215F9}"/>
            </c:ext>
          </c:extLst>
        </c:ser>
        <c:ser>
          <c:idx val="1"/>
          <c:order val="1"/>
          <c:tx>
            <c:v>Standarne funkcije, 512 bajta, mala.dat</c:v>
          </c:tx>
          <c:spPr>
            <a:ln w="28575" cap="rnd">
              <a:solidFill>
                <a:schemeClr val="accent5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(List1!$E$17:$E$29,List1!$E$31:$E$35)</c15:sqref>
                  </c15:fullRef>
                </c:ext>
              </c:extLst>
              <c:f>(List1!$E$17:$E$20,List1!$E$23:$E$29,List1!$E$31:$E$35)</c:f>
              <c:numCache>
                <c:formatCode>General</c:formatCode>
                <c:ptCount val="16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2E-3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B7-A04F-B389-E89E26E215F9}"/>
            </c:ext>
          </c:extLst>
        </c:ser>
        <c:ser>
          <c:idx val="2"/>
          <c:order val="2"/>
          <c:tx>
            <c:v>Standarne funkcije, 1024 bajta, mala.dat</c:v>
          </c:tx>
          <c:spPr>
            <a:ln w="28575" cap="rnd">
              <a:solidFill>
                <a:schemeClr val="accent5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(List1!$G$32:$G$35,List1!$G$17:$G$30)</c15:sqref>
                  </c15:fullRef>
                </c:ext>
              </c:extLst>
              <c:f>(List1!$G$32:$G$35,List1!$G$19:$G$30)</c:f>
              <c:numCache>
                <c:formatCode>General</c:formatCode>
                <c:ptCount val="16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2E-3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B7-A04F-B389-E89E26E215F9}"/>
            </c:ext>
          </c:extLst>
        </c:ser>
        <c:ser>
          <c:idx val="3"/>
          <c:order val="3"/>
          <c:tx>
            <c:v>Standarne funkcije, 1 bajt, srednja.dat</c:v>
          </c:tx>
          <c:spPr>
            <a:ln w="28575" cap="rnd">
              <a:solidFill>
                <a:schemeClr val="accent5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(List1!$C$50:$C$55,List1!$C$57:$C$68)</c15:sqref>
                  </c15:fullRef>
                </c:ext>
              </c:extLst>
              <c:f>(List1!$C$50:$C$53,List1!$C$57:$C$68)</c:f>
              <c:numCache>
                <c:formatCode>General</c:formatCode>
                <c:ptCount val="16"/>
                <c:pt idx="0">
                  <c:v>5.5679999999999996</c:v>
                </c:pt>
                <c:pt idx="1">
                  <c:v>5.0960000000000001</c:v>
                </c:pt>
                <c:pt idx="2">
                  <c:v>5.1239999999999997</c:v>
                </c:pt>
                <c:pt idx="3">
                  <c:v>5.3019999999999996</c:v>
                </c:pt>
                <c:pt idx="4">
                  <c:v>5.4850000000000003</c:v>
                </c:pt>
                <c:pt idx="5">
                  <c:v>5.2549999999999999</c:v>
                </c:pt>
                <c:pt idx="6">
                  <c:v>5.0469999999999997</c:v>
                </c:pt>
                <c:pt idx="7">
                  <c:v>5.0970000000000004</c:v>
                </c:pt>
                <c:pt idx="8">
                  <c:v>5.07</c:v>
                </c:pt>
                <c:pt idx="9">
                  <c:v>5.2039999999999997</c:v>
                </c:pt>
                <c:pt idx="10">
                  <c:v>5.1369999999999996</c:v>
                </c:pt>
                <c:pt idx="11">
                  <c:v>4.9909999999999997</c:v>
                </c:pt>
                <c:pt idx="12">
                  <c:v>4.9610000000000003</c:v>
                </c:pt>
                <c:pt idx="13">
                  <c:v>5.0510000000000002</c:v>
                </c:pt>
                <c:pt idx="14">
                  <c:v>4.9320000000000004</c:v>
                </c:pt>
                <c:pt idx="15">
                  <c:v>5.173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B7-A04F-B389-E89E26E215F9}"/>
            </c:ext>
          </c:extLst>
        </c:ser>
        <c:ser>
          <c:idx val="4"/>
          <c:order val="4"/>
          <c:tx>
            <c:v>Standarne funkcije, 512 bajta, srednja.dat</c:v>
          </c:tx>
          <c:spPr>
            <a:ln w="28575" cap="rnd">
              <a:solidFill>
                <a:schemeClr val="accent5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(List1!$E$49:$E$55,List1!$E$57:$E$63,List1!$E$65:$E$68)</c15:sqref>
                  </c15:fullRef>
                </c:ext>
              </c:extLst>
              <c:f>(List1!$E$49:$E$52,List1!$E$55,List1!$E$57:$E$63,List1!$E$65:$E$68)</c:f>
              <c:numCache>
                <c:formatCode>General</c:formatCode>
                <c:ptCount val="16"/>
                <c:pt idx="0">
                  <c:v>0.77</c:v>
                </c:pt>
                <c:pt idx="1">
                  <c:v>0.71299999999999997</c:v>
                </c:pt>
                <c:pt idx="2">
                  <c:v>0.77600000000000002</c:v>
                </c:pt>
                <c:pt idx="3">
                  <c:v>0.67200000000000004</c:v>
                </c:pt>
                <c:pt idx="4">
                  <c:v>0.75600000000000001</c:v>
                </c:pt>
                <c:pt idx="5">
                  <c:v>0.70599999999999996</c:v>
                </c:pt>
                <c:pt idx="6">
                  <c:v>0.78200000000000003</c:v>
                </c:pt>
                <c:pt idx="7">
                  <c:v>0.65600000000000003</c:v>
                </c:pt>
                <c:pt idx="8">
                  <c:v>0.75900000000000001</c:v>
                </c:pt>
                <c:pt idx="9">
                  <c:v>0.67600000000000005</c:v>
                </c:pt>
                <c:pt idx="10">
                  <c:v>0.81499999999999995</c:v>
                </c:pt>
                <c:pt idx="11">
                  <c:v>0.83299999999999996</c:v>
                </c:pt>
                <c:pt idx="12">
                  <c:v>0.746</c:v>
                </c:pt>
                <c:pt idx="13">
                  <c:v>0.70499999999999996</c:v>
                </c:pt>
                <c:pt idx="14">
                  <c:v>0.71199999999999997</c:v>
                </c:pt>
                <c:pt idx="15">
                  <c:v>0.76300000000000001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B7-A04F-B389-E89E26E215F9}"/>
            </c:ext>
          </c:extLst>
        </c:ser>
        <c:ser>
          <c:idx val="5"/>
          <c:order val="5"/>
          <c:tx>
            <c:v>Standarne funkcije, 1024 bajta, srednja.dat</c:v>
          </c:tx>
          <c:spPr>
            <a:ln w="28575" cap="rnd">
              <a:solidFill>
                <a:schemeClr val="accent5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(List1!$G$49:$G$62,List1!$G$65:$G$68)</c15:sqref>
                  </c15:fullRef>
                </c:ext>
              </c:extLst>
              <c:f>(List1!$G$49:$G$52,List1!$G$55:$G$62,List1!$G$65:$G$68)</c:f>
              <c:numCache>
                <c:formatCode>General</c:formatCode>
                <c:ptCount val="16"/>
                <c:pt idx="0">
                  <c:v>0.77900000000000003</c:v>
                </c:pt>
                <c:pt idx="1">
                  <c:v>0.74099999999999999</c:v>
                </c:pt>
                <c:pt idx="2">
                  <c:v>0.79900000000000004</c:v>
                </c:pt>
                <c:pt idx="3">
                  <c:v>0.72799999999999998</c:v>
                </c:pt>
                <c:pt idx="4">
                  <c:v>0.755</c:v>
                </c:pt>
                <c:pt idx="5">
                  <c:v>0.747</c:v>
                </c:pt>
                <c:pt idx="6">
                  <c:v>0.70699999999999996</c:v>
                </c:pt>
                <c:pt idx="7">
                  <c:v>0.71399999999999997</c:v>
                </c:pt>
                <c:pt idx="8">
                  <c:v>0.751</c:v>
                </c:pt>
                <c:pt idx="9">
                  <c:v>0.73599999999999999</c:v>
                </c:pt>
                <c:pt idx="10">
                  <c:v>0.69699999999999995</c:v>
                </c:pt>
                <c:pt idx="11">
                  <c:v>0.76600000000000001</c:v>
                </c:pt>
                <c:pt idx="12">
                  <c:v>0.63200000000000001</c:v>
                </c:pt>
                <c:pt idx="13">
                  <c:v>0.76500000000000001</c:v>
                </c:pt>
                <c:pt idx="14">
                  <c:v>0.69199999999999995</c:v>
                </c:pt>
                <c:pt idx="15">
                  <c:v>0.78700000000000003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B7-A04F-B389-E89E26E215F9}"/>
            </c:ext>
          </c:extLst>
        </c:ser>
        <c:ser>
          <c:idx val="6"/>
          <c:order val="6"/>
          <c:tx>
            <c:v>Standarne funkcije, 1 bajt, velika.dat</c:v>
          </c:tx>
          <c:spPr>
            <a:ln w="28575" cap="rnd">
              <a:solidFill>
                <a:schemeClr val="accent5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(List1!$C$84:$C$99,List1!$C$101:$C$102)</c15:sqref>
                  </c15:fullRef>
                </c:ext>
              </c:extLst>
              <c:f>(List1!$C$84:$C$87,List1!$C$90:$C$99,List1!$C$101:$C$102)</c:f>
              <c:numCache>
                <c:formatCode>General</c:formatCode>
                <c:ptCount val="16"/>
                <c:pt idx="0">
                  <c:v>61.256999999999998</c:v>
                </c:pt>
                <c:pt idx="1">
                  <c:v>61.552999999999997</c:v>
                </c:pt>
                <c:pt idx="2">
                  <c:v>61.981000000000002</c:v>
                </c:pt>
                <c:pt idx="3">
                  <c:v>61.655999999999999</c:v>
                </c:pt>
                <c:pt idx="4">
                  <c:v>59.695</c:v>
                </c:pt>
                <c:pt idx="5">
                  <c:v>60.335999999999999</c:v>
                </c:pt>
                <c:pt idx="6">
                  <c:v>60.232999999999997</c:v>
                </c:pt>
                <c:pt idx="7">
                  <c:v>61.832999999999998</c:v>
                </c:pt>
                <c:pt idx="8">
                  <c:v>60.036999999999999</c:v>
                </c:pt>
                <c:pt idx="9">
                  <c:v>60.191000000000003</c:v>
                </c:pt>
                <c:pt idx="10">
                  <c:v>59.875999999999998</c:v>
                </c:pt>
                <c:pt idx="11">
                  <c:v>60.3</c:v>
                </c:pt>
                <c:pt idx="12">
                  <c:v>60.683999999999997</c:v>
                </c:pt>
                <c:pt idx="13">
                  <c:v>60.420999999999999</c:v>
                </c:pt>
                <c:pt idx="14">
                  <c:v>59.962000000000003</c:v>
                </c:pt>
                <c:pt idx="15">
                  <c:v>58.932000000000002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B7-A04F-B389-E89E26E215F9}"/>
            </c:ext>
          </c:extLst>
        </c:ser>
        <c:ser>
          <c:idx val="7"/>
          <c:order val="7"/>
          <c:tx>
            <c:v>Standarne funkcije, 512 bajta, velika.dat</c:v>
          </c:tx>
          <c:spPr>
            <a:ln w="28575" cap="rnd">
              <a:solidFill>
                <a:schemeClr val="accent5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(List1!$E$84:$E$85,List1!$E$87:$E$98,List1!$E$101:$E$103)</c15:sqref>
                  </c15:fullRef>
                </c:ext>
              </c:extLst>
              <c:f>(List1!$E$84:$E$85,List1!$E$87:$E$88,List1!$E$91:$E$98,List1!$E$101:$E$103)</c:f>
              <c:numCache>
                <c:formatCode>General</c:formatCode>
                <c:ptCount val="15"/>
                <c:pt idx="0">
                  <c:v>3.4079999999999999</c:v>
                </c:pt>
                <c:pt idx="1">
                  <c:v>3.6909999999999998</c:v>
                </c:pt>
                <c:pt idx="2">
                  <c:v>3.6240000000000001</c:v>
                </c:pt>
                <c:pt idx="3">
                  <c:v>3.3849999999999998</c:v>
                </c:pt>
                <c:pt idx="4">
                  <c:v>3.6930000000000001</c:v>
                </c:pt>
                <c:pt idx="5">
                  <c:v>3.4430000000000001</c:v>
                </c:pt>
                <c:pt idx="6">
                  <c:v>3.6040000000000001</c:v>
                </c:pt>
                <c:pt idx="7">
                  <c:v>3.4750000000000001</c:v>
                </c:pt>
                <c:pt idx="8">
                  <c:v>3.6640000000000001</c:v>
                </c:pt>
                <c:pt idx="9">
                  <c:v>3.488</c:v>
                </c:pt>
                <c:pt idx="10">
                  <c:v>3.657</c:v>
                </c:pt>
                <c:pt idx="11">
                  <c:v>3.5619999999999998</c:v>
                </c:pt>
                <c:pt idx="12">
                  <c:v>3.677</c:v>
                </c:pt>
                <c:pt idx="13">
                  <c:v>3.512</c:v>
                </c:pt>
                <c:pt idx="14">
                  <c:v>3.6589999999999998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BB7-A04F-B389-E89E26E215F9}"/>
            </c:ext>
          </c:extLst>
        </c:ser>
        <c:ser>
          <c:idx val="8"/>
          <c:order val="8"/>
          <c:tx>
            <c:v>Standarne funkcije, 1024 bajta, velika.dat</c:v>
          </c:tx>
          <c:spPr>
            <a:ln w="28575" cap="rnd">
              <a:solidFill>
                <a:schemeClr val="accent5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(List1!$G$85:$G$88,List1!$G$90:$G$103)</c15:sqref>
                  </c15:fullRef>
                </c:ext>
              </c:extLst>
              <c:f>(List1!$G$85:$G$88,List1!$G$92:$G$103)</c:f>
              <c:numCache>
                <c:formatCode>General</c:formatCode>
                <c:ptCount val="16"/>
                <c:pt idx="0">
                  <c:v>3.7570000000000001</c:v>
                </c:pt>
                <c:pt idx="1">
                  <c:v>3.387</c:v>
                </c:pt>
                <c:pt idx="2">
                  <c:v>3.7149999999999999</c:v>
                </c:pt>
                <c:pt idx="3">
                  <c:v>3.4209999999999998</c:v>
                </c:pt>
                <c:pt idx="4">
                  <c:v>3.4660000000000002</c:v>
                </c:pt>
                <c:pt idx="5">
                  <c:v>3.72</c:v>
                </c:pt>
                <c:pt idx="6">
                  <c:v>3.411</c:v>
                </c:pt>
                <c:pt idx="7">
                  <c:v>3.7770000000000001</c:v>
                </c:pt>
                <c:pt idx="8">
                  <c:v>3.423</c:v>
                </c:pt>
                <c:pt idx="9">
                  <c:v>3.5880000000000001</c:v>
                </c:pt>
                <c:pt idx="10">
                  <c:v>3.36</c:v>
                </c:pt>
                <c:pt idx="11">
                  <c:v>3.66</c:v>
                </c:pt>
                <c:pt idx="12">
                  <c:v>3.387</c:v>
                </c:pt>
                <c:pt idx="13">
                  <c:v>3.6850000000000001</c:v>
                </c:pt>
                <c:pt idx="14">
                  <c:v>3.3839999999999999</c:v>
                </c:pt>
                <c:pt idx="15">
                  <c:v>3.778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BB7-A04F-B389-E89E26E215F9}"/>
            </c:ext>
          </c:extLst>
        </c:ser>
        <c:ser>
          <c:idx val="9"/>
          <c:order val="9"/>
          <c:tx>
            <c:v>Sistemski pozivi, 1 bajt, mala.dat</c:v>
          </c:tx>
          <c:spPr>
            <a:ln w="28575" cap="rnd">
              <a:solidFill>
                <a:schemeClr val="accent5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List1!$D$18:$D$35</c15:sqref>
                  </c15:fullRef>
                </c:ext>
              </c:extLst>
              <c:f>(List1!$D$18:$D$21,List1!$D$24:$D$35)</c:f>
              <c:numCache>
                <c:formatCode>General</c:formatCode>
                <c:ptCount val="16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2E-3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BB7-A04F-B389-E89E26E215F9}"/>
            </c:ext>
          </c:extLst>
        </c:ser>
        <c:ser>
          <c:idx val="10"/>
          <c:order val="10"/>
          <c:tx>
            <c:v>Sistemski pozivi, 512 bajta, mala.dat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(List1!$F$17:$F$30,List1!$F$32:$F$35)</c15:sqref>
                  </c15:fullRef>
                </c:ext>
              </c:extLst>
              <c:f>(List1!$F$17:$F$20,List1!$F$23:$F$30,List1!$F$32:$F$35)</c:f>
              <c:numCache>
                <c:formatCode>General</c:formatCode>
                <c:ptCount val="16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BB7-A04F-B389-E89E26E215F9}"/>
            </c:ext>
          </c:extLst>
        </c:ser>
        <c:ser>
          <c:idx val="11"/>
          <c:order val="11"/>
          <c:tx>
            <c:v>Sistemski pozivi, 1024 bajta, mala.dat</c:v>
          </c:tx>
          <c:spPr>
            <a:ln w="28575" cap="rnd">
              <a:solidFill>
                <a:schemeClr val="accent5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(List1!$H$17:$H$29,List1!$H$31:$H$35)</c15:sqref>
                  </c15:fullRef>
                </c:ext>
              </c:extLst>
              <c:f>(List1!$H$17:$H$20,List1!$H$23:$H$29,List1!$H$31:$H$35)</c:f>
              <c:numCache>
                <c:formatCode>General</c:formatCode>
                <c:ptCount val="16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2E-3</c:v>
                </c:pt>
                <c:pt idx="15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BB7-A04F-B389-E89E26E215F9}"/>
            </c:ext>
          </c:extLst>
        </c:ser>
        <c:ser>
          <c:idx val="12"/>
          <c:order val="12"/>
          <c:tx>
            <c:v>Sistemski pozivi, 1 bajt, srednja.dat</c:v>
          </c:tx>
          <c:spPr>
            <a:ln w="28575" cap="rnd">
              <a:solidFill>
                <a:schemeClr val="accent5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(List1!$D$49:$D$59,List1!$D$61:$D$62,List1!$D$64:$D$68)</c15:sqref>
                  </c15:fullRef>
                </c:ext>
              </c:extLst>
              <c:f>(List1!$D$49:$D$52,List1!$D$55:$D$59,List1!$D$61:$D$62,List1!$D$64:$D$68)</c:f>
              <c:numCache>
                <c:formatCode>General</c:formatCode>
                <c:ptCount val="16"/>
                <c:pt idx="0">
                  <c:v>130.428</c:v>
                </c:pt>
                <c:pt idx="1">
                  <c:v>126.187</c:v>
                </c:pt>
                <c:pt idx="2">
                  <c:v>125.41500000000001</c:v>
                </c:pt>
                <c:pt idx="3">
                  <c:v>127.414</c:v>
                </c:pt>
                <c:pt idx="4">
                  <c:v>125.82</c:v>
                </c:pt>
                <c:pt idx="5">
                  <c:v>125.732</c:v>
                </c:pt>
                <c:pt idx="6">
                  <c:v>125.711</c:v>
                </c:pt>
                <c:pt idx="7">
                  <c:v>125.501</c:v>
                </c:pt>
                <c:pt idx="8">
                  <c:v>125.623</c:v>
                </c:pt>
                <c:pt idx="9">
                  <c:v>125.771</c:v>
                </c:pt>
                <c:pt idx="10">
                  <c:v>126.395</c:v>
                </c:pt>
                <c:pt idx="11">
                  <c:v>127.134</c:v>
                </c:pt>
                <c:pt idx="12">
                  <c:v>126.39</c:v>
                </c:pt>
                <c:pt idx="13">
                  <c:v>128.03299999999999</c:v>
                </c:pt>
                <c:pt idx="14">
                  <c:v>125.75700000000001</c:v>
                </c:pt>
                <c:pt idx="15">
                  <c:v>126.01900000000001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BB7-A04F-B389-E89E26E215F9}"/>
            </c:ext>
          </c:extLst>
        </c:ser>
        <c:ser>
          <c:idx val="13"/>
          <c:order val="13"/>
          <c:tx>
            <c:v>Sistemski pozivi, 512 bajta, srednja.dat</c:v>
          </c:tx>
          <c:spPr>
            <a:ln w="28575" cap="rnd">
              <a:solidFill>
                <a:schemeClr val="accent5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(List1!$F$49:$F$52,List1!$F$55:$F$68)</c15:sqref>
                  </c15:fullRef>
                </c:ext>
              </c:extLst>
              <c:f>(List1!$F$49:$F$52,List1!$F$57:$F$68)</c:f>
              <c:numCache>
                <c:formatCode>General</c:formatCode>
                <c:ptCount val="16"/>
                <c:pt idx="0">
                  <c:v>0.76400000000000001</c:v>
                </c:pt>
                <c:pt idx="1">
                  <c:v>0.79200000000000004</c:v>
                </c:pt>
                <c:pt idx="2">
                  <c:v>0.79400000000000004</c:v>
                </c:pt>
                <c:pt idx="3">
                  <c:v>0.67700000000000005</c:v>
                </c:pt>
                <c:pt idx="4">
                  <c:v>0.74099999999999999</c:v>
                </c:pt>
                <c:pt idx="5">
                  <c:v>0.82699999999999996</c:v>
                </c:pt>
                <c:pt idx="6">
                  <c:v>0.83699999999999997</c:v>
                </c:pt>
                <c:pt idx="7">
                  <c:v>0.77700000000000002</c:v>
                </c:pt>
                <c:pt idx="8">
                  <c:v>0.76300000000000001</c:v>
                </c:pt>
                <c:pt idx="9">
                  <c:v>0.746</c:v>
                </c:pt>
                <c:pt idx="10">
                  <c:v>0.71799999999999997</c:v>
                </c:pt>
                <c:pt idx="11">
                  <c:v>0.69099999999999995</c:v>
                </c:pt>
                <c:pt idx="12">
                  <c:v>0.71799999999999997</c:v>
                </c:pt>
                <c:pt idx="13">
                  <c:v>0.77800000000000002</c:v>
                </c:pt>
                <c:pt idx="14">
                  <c:v>0.84099999999999997</c:v>
                </c:pt>
                <c:pt idx="1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BB7-A04F-B389-E89E26E215F9}"/>
            </c:ext>
          </c:extLst>
        </c:ser>
        <c:ser>
          <c:idx val="14"/>
          <c:order val="14"/>
          <c:tx>
            <c:v>Sistemski pozivi, 1024 bajta, srednja.dat</c:v>
          </c:tx>
          <c:spPr>
            <a:ln w="28575" cap="rnd">
              <a:solidFill>
                <a:schemeClr val="accent5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(List1!$H$49:$H$57,List1!$H$60:$H$68)</c15:sqref>
                  </c15:fullRef>
                </c:ext>
              </c:extLst>
              <c:f>(List1!$H$49:$H$52,List1!$H$55:$H$57,List1!$H$60:$H$68)</c:f>
              <c:numCache>
                <c:formatCode>General</c:formatCode>
                <c:ptCount val="16"/>
                <c:pt idx="0">
                  <c:v>0.746</c:v>
                </c:pt>
                <c:pt idx="1">
                  <c:v>0.73099999999999998</c:v>
                </c:pt>
                <c:pt idx="2">
                  <c:v>0.79700000000000004</c:v>
                </c:pt>
                <c:pt idx="3">
                  <c:v>0.755</c:v>
                </c:pt>
                <c:pt idx="4">
                  <c:v>0.77400000000000002</c:v>
                </c:pt>
                <c:pt idx="5">
                  <c:v>0.79500000000000004</c:v>
                </c:pt>
                <c:pt idx="6">
                  <c:v>0.73599999999999999</c:v>
                </c:pt>
                <c:pt idx="7">
                  <c:v>0.76</c:v>
                </c:pt>
                <c:pt idx="8">
                  <c:v>0.76100000000000001</c:v>
                </c:pt>
                <c:pt idx="9">
                  <c:v>0.70799999999999996</c:v>
                </c:pt>
                <c:pt idx="10">
                  <c:v>0.74099999999999999</c:v>
                </c:pt>
                <c:pt idx="11">
                  <c:v>0.74199999999999999</c:v>
                </c:pt>
                <c:pt idx="12">
                  <c:v>0.83499999999999996</c:v>
                </c:pt>
                <c:pt idx="13">
                  <c:v>0.72899999999999998</c:v>
                </c:pt>
                <c:pt idx="14">
                  <c:v>0.68799999999999994</c:v>
                </c:pt>
                <c:pt idx="15">
                  <c:v>0.78900000000000003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BB7-A04F-B389-E89E26E215F9}"/>
            </c:ext>
          </c:extLst>
        </c:ser>
        <c:ser>
          <c:idx val="15"/>
          <c:order val="15"/>
          <c:tx>
            <c:v>Sistemski pozivi, 1 bajt, velika.dat</c:v>
          </c:tx>
          <c:spPr>
            <a:ln w="28575" cap="rnd">
              <a:solidFill>
                <a:schemeClr val="accent5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(List1!$D$84:$D$86,List1!$D$88:$D$98,List1!$D$100:$D$103)</c15:sqref>
                  </c15:fullRef>
                </c:ext>
              </c:extLst>
              <c:f>(List1!$D$84:$D$86,List1!$D$88,List1!$D$91:$D$98,List1!$D$100:$D$103)</c:f>
              <c:numCache>
                <c:formatCode>General</c:formatCode>
                <c:ptCount val="16"/>
                <c:pt idx="0">
                  <c:v>1341.5809999999999</c:v>
                </c:pt>
                <c:pt idx="1">
                  <c:v>1360.2550000000001</c:v>
                </c:pt>
                <c:pt idx="2">
                  <c:v>1291.1300000000001</c:v>
                </c:pt>
                <c:pt idx="3">
                  <c:v>1296.3019999999999</c:v>
                </c:pt>
                <c:pt idx="4">
                  <c:v>1308.1559999999999</c:v>
                </c:pt>
                <c:pt idx="5">
                  <c:v>1354.92</c:v>
                </c:pt>
                <c:pt idx="6">
                  <c:v>1354.925</c:v>
                </c:pt>
                <c:pt idx="7">
                  <c:v>1338.9369999999999</c:v>
                </c:pt>
                <c:pt idx="8">
                  <c:v>1334.7170000000001</c:v>
                </c:pt>
                <c:pt idx="9">
                  <c:v>1353.8920000000001</c:v>
                </c:pt>
                <c:pt idx="10">
                  <c:v>1373.837</c:v>
                </c:pt>
                <c:pt idx="11">
                  <c:v>1343.0450000000001</c:v>
                </c:pt>
                <c:pt idx="12">
                  <c:v>1391.739</c:v>
                </c:pt>
                <c:pt idx="13">
                  <c:v>1348.296</c:v>
                </c:pt>
                <c:pt idx="14">
                  <c:v>1311.12</c:v>
                </c:pt>
                <c:pt idx="15">
                  <c:v>1350.0060000000001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BB7-A04F-B389-E89E26E215F9}"/>
            </c:ext>
          </c:extLst>
        </c:ser>
        <c:ser>
          <c:idx val="16"/>
          <c:order val="16"/>
          <c:tx>
            <c:v>Sistemski pozivi, 512 bajta, velika.dat</c:v>
          </c:tx>
          <c:spPr>
            <a:ln w="28575" cap="rnd">
              <a:solidFill>
                <a:schemeClr val="accent5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(List1!$F$85:$F$98,List1!$F$100:$F$103)</c15:sqref>
                  </c15:fullRef>
                </c:ext>
              </c:extLst>
              <c:f>(List1!$F$85:$F$88,List1!$F$91:$F$98,List1!$F$100:$F$103)</c:f>
              <c:numCache>
                <c:formatCode>General</c:formatCode>
                <c:ptCount val="16"/>
                <c:pt idx="0">
                  <c:v>10.000999999999999</c:v>
                </c:pt>
                <c:pt idx="1">
                  <c:v>8.4459999999999997</c:v>
                </c:pt>
                <c:pt idx="2">
                  <c:v>9.1920000000000002</c:v>
                </c:pt>
                <c:pt idx="3">
                  <c:v>9.0530000000000008</c:v>
                </c:pt>
                <c:pt idx="4">
                  <c:v>9.5340000000000007</c:v>
                </c:pt>
                <c:pt idx="5">
                  <c:v>8.718</c:v>
                </c:pt>
                <c:pt idx="6">
                  <c:v>9.2850000000000001</c:v>
                </c:pt>
                <c:pt idx="7">
                  <c:v>9.3179999999999996</c:v>
                </c:pt>
                <c:pt idx="8">
                  <c:v>9.0790000000000006</c:v>
                </c:pt>
                <c:pt idx="9">
                  <c:v>8.9410000000000007</c:v>
                </c:pt>
                <c:pt idx="10">
                  <c:v>9.3940000000000001</c:v>
                </c:pt>
                <c:pt idx="11">
                  <c:v>9.1620000000000008</c:v>
                </c:pt>
                <c:pt idx="12">
                  <c:v>9.4960000000000004</c:v>
                </c:pt>
                <c:pt idx="13">
                  <c:v>9.1969999999999992</c:v>
                </c:pt>
                <c:pt idx="14">
                  <c:v>9.0690000000000008</c:v>
                </c:pt>
                <c:pt idx="15">
                  <c:v>9.4390000000000001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BB7-A04F-B389-E89E26E215F9}"/>
            </c:ext>
          </c:extLst>
        </c:ser>
        <c:ser>
          <c:idx val="17"/>
          <c:order val="17"/>
          <c:tx>
            <c:v>Sistemski pozivi, 1024 bajta, velika.dat</c:v>
          </c:tx>
          <c:spPr>
            <a:ln w="28575" cap="rnd">
              <a:solidFill>
                <a:schemeClr val="accent5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(List1!$H$84:$H$99,List1!$H$102:$H$103)</c15:sqref>
                  </c15:fullRef>
                </c:ext>
              </c:extLst>
              <c:f>(List1!$H$84:$H$87,List1!$H$90:$H$99,List1!$H$102:$H$103)</c:f>
              <c:numCache>
                <c:formatCode>General</c:formatCode>
                <c:ptCount val="16"/>
                <c:pt idx="0">
                  <c:v>5.5039999999999996</c:v>
                </c:pt>
                <c:pt idx="1">
                  <c:v>5.798</c:v>
                </c:pt>
                <c:pt idx="2">
                  <c:v>5.4770000000000003</c:v>
                </c:pt>
                <c:pt idx="3">
                  <c:v>5.8390000000000004</c:v>
                </c:pt>
                <c:pt idx="4">
                  <c:v>5.492</c:v>
                </c:pt>
                <c:pt idx="5">
                  <c:v>5.7960000000000003</c:v>
                </c:pt>
                <c:pt idx="6">
                  <c:v>5.476</c:v>
                </c:pt>
                <c:pt idx="7">
                  <c:v>5.8289999999999997</c:v>
                </c:pt>
                <c:pt idx="8">
                  <c:v>5.5259999999999998</c:v>
                </c:pt>
                <c:pt idx="9">
                  <c:v>5.9130000000000003</c:v>
                </c:pt>
                <c:pt idx="10">
                  <c:v>5.4669999999999996</c:v>
                </c:pt>
                <c:pt idx="11">
                  <c:v>5.9770000000000003</c:v>
                </c:pt>
                <c:pt idx="12">
                  <c:v>5.5410000000000004</c:v>
                </c:pt>
                <c:pt idx="13">
                  <c:v>5.03</c:v>
                </c:pt>
                <c:pt idx="14">
                  <c:v>6.3170000000000002</c:v>
                </c:pt>
                <c:pt idx="15">
                  <c:v>5.0289999999999999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BB7-A04F-B389-E89E26E215F9}"/>
            </c:ext>
          </c:extLst>
        </c:ser>
        <c:ser>
          <c:idx val="18"/>
          <c:order val="18"/>
          <c:tx>
            <c:v>Naredba cp, mala.dat</c:v>
          </c:tx>
          <c:spPr>
            <a:ln w="28575" cap="rnd">
              <a:solidFill>
                <a:schemeClr val="accent5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(List1!$I$17:$I$27,List1!$I$29:$I$35)</c15:sqref>
                  </c15:fullRef>
                </c:ext>
              </c:extLst>
              <c:f>(List1!$I$17:$I$20,List1!$I$23:$I$27,List1!$I$29:$I$35)</c:f>
              <c:numCache>
                <c:formatCode>General</c:formatCode>
                <c:ptCount val="16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1E-3</c:v>
                </c:pt>
                <c:pt idx="6">
                  <c:v>2E-3</c:v>
                </c:pt>
                <c:pt idx="7">
                  <c:v>1E-3</c:v>
                </c:pt>
                <c:pt idx="8">
                  <c:v>2E-3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2E-3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BB7-A04F-B389-E89E26E215F9}"/>
            </c:ext>
          </c:extLst>
        </c:ser>
        <c:ser>
          <c:idx val="19"/>
          <c:order val="19"/>
          <c:tx>
            <c:v>Naredba cp, srednja.dat</c:v>
          </c:tx>
          <c:spPr>
            <a:ln w="28575" cap="rnd">
              <a:solidFill>
                <a:schemeClr val="accent5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(List1!$I$53:$I$68,List1!$I$51,List1!$I$49)</c15:sqref>
                  </c15:fullRef>
                </c:ext>
              </c:extLst>
              <c:f>(List1!$I$53:$I$56,List1!$I$59:$I$68,List1!$I$51,List1!$I$49)</c:f>
              <c:numCache>
                <c:formatCode>General</c:formatCode>
                <c:ptCount val="16"/>
                <c:pt idx="0">
                  <c:v>0.79800000000000004</c:v>
                </c:pt>
                <c:pt idx="1">
                  <c:v>0.76800000000000002</c:v>
                </c:pt>
                <c:pt idx="2">
                  <c:v>0.70799999999999996</c:v>
                </c:pt>
                <c:pt idx="3">
                  <c:v>0.74299999999999999</c:v>
                </c:pt>
                <c:pt idx="4">
                  <c:v>0.72599999999999998</c:v>
                </c:pt>
                <c:pt idx="5">
                  <c:v>0.625</c:v>
                </c:pt>
                <c:pt idx="6">
                  <c:v>0.77400000000000002</c:v>
                </c:pt>
                <c:pt idx="7">
                  <c:v>0.72199999999999998</c:v>
                </c:pt>
                <c:pt idx="8">
                  <c:v>0.77</c:v>
                </c:pt>
                <c:pt idx="9">
                  <c:v>0.66700000000000004</c:v>
                </c:pt>
                <c:pt idx="10">
                  <c:v>0.72899999999999998</c:v>
                </c:pt>
                <c:pt idx="11">
                  <c:v>0.81299999999999994</c:v>
                </c:pt>
                <c:pt idx="12">
                  <c:v>0.67100000000000004</c:v>
                </c:pt>
                <c:pt idx="13">
                  <c:v>0.755</c:v>
                </c:pt>
                <c:pt idx="14">
                  <c:v>0.80600000000000005</c:v>
                </c:pt>
                <c:pt idx="15">
                  <c:v>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BB7-A04F-B389-E89E26E215F9}"/>
            </c:ext>
          </c:extLst>
        </c:ser>
        <c:ser>
          <c:idx val="20"/>
          <c:order val="20"/>
          <c:tx>
            <c:v>Naredba cp, velika.dat</c:v>
          </c:tx>
          <c:spPr>
            <a:ln w="28575" cap="rnd">
              <a:solidFill>
                <a:schemeClr val="accent5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(List1!$I$84:$I$85,List1!$I$88:$I$103)</c15:sqref>
                  </c15:fullRef>
                </c:ext>
              </c:extLst>
              <c:f>(List1!$I$84:$I$85,List1!$I$88:$I$89,List1!$I$92:$I$103)</c:f>
              <c:numCache>
                <c:formatCode>General</c:formatCode>
                <c:ptCount val="16"/>
                <c:pt idx="0">
                  <c:v>2.964</c:v>
                </c:pt>
                <c:pt idx="1">
                  <c:v>2.7050000000000001</c:v>
                </c:pt>
                <c:pt idx="2">
                  <c:v>3.4820000000000002</c:v>
                </c:pt>
                <c:pt idx="3">
                  <c:v>2.9460000000000002</c:v>
                </c:pt>
                <c:pt idx="4">
                  <c:v>3.5139999999999998</c:v>
                </c:pt>
                <c:pt idx="5">
                  <c:v>2.871</c:v>
                </c:pt>
                <c:pt idx="6">
                  <c:v>3.45</c:v>
                </c:pt>
                <c:pt idx="7">
                  <c:v>2.8809999999999998</c:v>
                </c:pt>
                <c:pt idx="8">
                  <c:v>2.8639999999999999</c:v>
                </c:pt>
                <c:pt idx="9">
                  <c:v>3.456</c:v>
                </c:pt>
                <c:pt idx="10">
                  <c:v>2.8650000000000002</c:v>
                </c:pt>
                <c:pt idx="11">
                  <c:v>3.4359999999999999</c:v>
                </c:pt>
                <c:pt idx="12">
                  <c:v>2.9940000000000002</c:v>
                </c:pt>
                <c:pt idx="13">
                  <c:v>3.4569999999999999</c:v>
                </c:pt>
                <c:pt idx="14">
                  <c:v>2.891</c:v>
                </c:pt>
                <c:pt idx="15">
                  <c:v>3.4369999999999998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BB7-A04F-B389-E89E26E21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213664"/>
        <c:axId val="386268384"/>
      </c:lineChart>
      <c:catAx>
        <c:axId val="625213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268384"/>
        <c:crosses val="autoZero"/>
        <c:auto val="1"/>
        <c:lblAlgn val="ctr"/>
        <c:lblOffset val="100"/>
        <c:noMultiLvlLbl val="0"/>
      </c:catAx>
      <c:valAx>
        <c:axId val="386268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13664"/>
        <c:crosses val="autoZero"/>
        <c:crossBetween val="between"/>
        <c:majorUnit val="6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2438400</xdr:colOff>
      <xdr:row>113</xdr:row>
      <xdr:rowOff>77740</xdr:rowOff>
    </xdr:from>
    <xdr:to>
      <xdr:col>9</xdr:col>
      <xdr:colOff>1016000</xdr:colOff>
      <xdr:row>153</xdr:row>
      <xdr:rowOff>203200</xdr:rowOff>
    </xdr:to>
    <xdr:graphicFrame macro="">
      <xdr:nvGraphicFramePr>
        <xdr:cNvPr id="3" name="Grafikon 1">
          <a:extLst>
            <a:ext uri="{FF2B5EF4-FFF2-40B4-BE49-F238E27FC236}">
              <a16:creationId xmlns:a16="http://schemas.microsoft.com/office/drawing/2014/main" id="{7C46CA51-3D91-834F-8E9A-60DAB9FFC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09"/>
  <sheetViews>
    <sheetView tabSelected="1" zoomScale="37" zoomScaleNormal="75" workbookViewId="0">
      <selection activeCell="K18" sqref="K18"/>
    </sheetView>
  </sheetViews>
  <sheetFormatPr baseColWidth="10" defaultColWidth="43.83203125" defaultRowHeight="28.5" customHeight="1" x14ac:dyDescent="0.2"/>
  <cols>
    <col min="1" max="1" width="35.33203125" customWidth="1"/>
    <col min="2" max="2" width="27" customWidth="1"/>
  </cols>
  <sheetData>
    <row r="2" spans="1:16" ht="28.5" customHeight="1" thickBot="1" x14ac:dyDescent="0.25"/>
    <row r="3" spans="1:16" ht="28.5" customHeight="1" x14ac:dyDescent="0.2">
      <c r="C3" s="51" t="s">
        <v>28</v>
      </c>
      <c r="D3" s="52"/>
      <c r="E3" s="52"/>
      <c r="F3" s="52"/>
      <c r="G3" s="52"/>
      <c r="H3" s="52"/>
      <c r="I3" s="53"/>
      <c r="J3" s="2"/>
      <c r="K3" s="2"/>
      <c r="L3" s="2"/>
      <c r="M3" s="2"/>
      <c r="N3" s="2"/>
      <c r="O3" s="2"/>
      <c r="P3" s="2"/>
    </row>
    <row r="4" spans="1:16" ht="28.5" customHeight="1" x14ac:dyDescent="0.2">
      <c r="C4" s="54"/>
      <c r="D4" s="55"/>
      <c r="E4" s="55"/>
      <c r="F4" s="55"/>
      <c r="G4" s="55"/>
      <c r="H4" s="55"/>
      <c r="I4" s="56"/>
      <c r="J4" s="2"/>
      <c r="K4" s="2"/>
      <c r="L4" s="2"/>
      <c r="M4" s="2"/>
      <c r="N4" s="2"/>
      <c r="O4" s="2"/>
      <c r="P4" s="2"/>
    </row>
    <row r="5" spans="1:16" ht="28.5" customHeight="1" x14ac:dyDescent="0.2">
      <c r="C5" s="54"/>
      <c r="D5" s="55"/>
      <c r="E5" s="55"/>
      <c r="F5" s="55"/>
      <c r="G5" s="55"/>
      <c r="H5" s="55"/>
      <c r="I5" s="56"/>
      <c r="J5" s="2"/>
      <c r="K5" s="2"/>
      <c r="L5" s="2"/>
      <c r="M5" s="2"/>
      <c r="N5" s="2"/>
      <c r="O5" s="2"/>
      <c r="P5" s="2"/>
    </row>
    <row r="6" spans="1:16" ht="28.5" customHeight="1" x14ac:dyDescent="0.2">
      <c r="C6" s="54"/>
      <c r="D6" s="55"/>
      <c r="E6" s="55"/>
      <c r="F6" s="55"/>
      <c r="G6" s="55"/>
      <c r="H6" s="55"/>
      <c r="I6" s="56"/>
      <c r="J6" s="2"/>
      <c r="K6" s="2"/>
      <c r="L6" s="2"/>
      <c r="M6" s="2"/>
      <c r="N6" s="2"/>
      <c r="O6" s="2"/>
      <c r="P6" s="2"/>
    </row>
    <row r="7" spans="1:16" ht="28.5" customHeight="1" x14ac:dyDescent="0.2">
      <c r="C7" s="54"/>
      <c r="D7" s="55"/>
      <c r="E7" s="55"/>
      <c r="F7" s="55"/>
      <c r="G7" s="55"/>
      <c r="H7" s="55"/>
      <c r="I7" s="56"/>
      <c r="J7" s="2"/>
      <c r="K7" s="2"/>
      <c r="L7" s="2"/>
      <c r="M7" s="2"/>
      <c r="N7" s="2"/>
      <c r="O7" s="2"/>
      <c r="P7" s="2"/>
    </row>
    <row r="8" spans="1:16" ht="28.5" customHeight="1" x14ac:dyDescent="0.2">
      <c r="C8" s="54"/>
      <c r="D8" s="55"/>
      <c r="E8" s="55"/>
      <c r="F8" s="55"/>
      <c r="G8" s="55"/>
      <c r="H8" s="55"/>
      <c r="I8" s="56"/>
      <c r="J8" s="2"/>
      <c r="K8" s="2"/>
      <c r="L8" s="2"/>
      <c r="M8" s="2"/>
      <c r="N8" s="2"/>
      <c r="O8" s="2"/>
      <c r="P8" s="2"/>
    </row>
    <row r="9" spans="1:16" ht="28.5" customHeight="1" x14ac:dyDescent="0.2">
      <c r="C9" s="54"/>
      <c r="D9" s="55"/>
      <c r="E9" s="55"/>
      <c r="F9" s="55"/>
      <c r="G9" s="55"/>
      <c r="H9" s="55"/>
      <c r="I9" s="56"/>
      <c r="J9" s="2"/>
      <c r="K9" s="2"/>
      <c r="L9" s="2"/>
      <c r="M9" s="2"/>
      <c r="N9" s="2"/>
      <c r="O9" s="2"/>
      <c r="P9" s="2"/>
    </row>
    <row r="10" spans="1:16" ht="28.5" customHeight="1" x14ac:dyDescent="0.2">
      <c r="C10" s="54"/>
      <c r="D10" s="55"/>
      <c r="E10" s="55"/>
      <c r="F10" s="55"/>
      <c r="G10" s="55"/>
      <c r="H10" s="55"/>
      <c r="I10" s="56"/>
      <c r="J10" s="2"/>
      <c r="K10" s="2"/>
      <c r="L10" s="2"/>
      <c r="M10" s="2"/>
      <c r="N10" s="2"/>
      <c r="O10" s="2"/>
      <c r="P10" s="2"/>
    </row>
    <row r="11" spans="1:16" ht="28.5" customHeight="1" x14ac:dyDescent="0.2">
      <c r="C11" s="54"/>
      <c r="D11" s="55"/>
      <c r="E11" s="55"/>
      <c r="F11" s="55"/>
      <c r="G11" s="55"/>
      <c r="H11" s="55"/>
      <c r="I11" s="56"/>
      <c r="J11" s="2"/>
      <c r="K11" s="2"/>
      <c r="L11" s="2"/>
      <c r="M11" s="2"/>
      <c r="N11" s="2"/>
      <c r="O11" s="2"/>
      <c r="P11" s="2"/>
    </row>
    <row r="12" spans="1:16" ht="28.5" customHeight="1" thickBot="1" x14ac:dyDescent="0.25">
      <c r="C12" s="57"/>
      <c r="D12" s="58"/>
      <c r="E12" s="58"/>
      <c r="F12" s="58"/>
      <c r="G12" s="58"/>
      <c r="H12" s="58"/>
      <c r="I12" s="59"/>
      <c r="J12" s="2"/>
      <c r="K12" s="2"/>
      <c r="L12" s="2"/>
      <c r="M12" s="2"/>
      <c r="N12" s="2"/>
      <c r="O12" s="2"/>
      <c r="P12" s="2"/>
    </row>
    <row r="13" spans="1:16" ht="51" customHeight="1" thickBot="1" x14ac:dyDescent="0.4">
      <c r="B13" s="1"/>
      <c r="C13" s="61" t="s">
        <v>30</v>
      </c>
      <c r="D13" s="60"/>
      <c r="E13" s="60" t="s">
        <v>29</v>
      </c>
      <c r="F13" s="60"/>
      <c r="G13" s="60" t="s">
        <v>31</v>
      </c>
      <c r="H13" s="60"/>
    </row>
    <row r="14" spans="1:16" ht="43.5" customHeight="1" thickTop="1" x14ac:dyDescent="0.2">
      <c r="C14" s="46" t="s">
        <v>20</v>
      </c>
      <c r="D14" s="43" t="s">
        <v>21</v>
      </c>
      <c r="E14" s="46" t="s">
        <v>20</v>
      </c>
      <c r="F14" s="43" t="s">
        <v>21</v>
      </c>
      <c r="G14" s="46" t="s">
        <v>20</v>
      </c>
      <c r="H14" s="43" t="s">
        <v>21</v>
      </c>
      <c r="I14" s="43" t="s">
        <v>24</v>
      </c>
    </row>
    <row r="15" spans="1:16" ht="28.5" customHeight="1" x14ac:dyDescent="0.2">
      <c r="C15" s="47"/>
      <c r="D15" s="44"/>
      <c r="E15" s="47"/>
      <c r="F15" s="44"/>
      <c r="G15" s="47"/>
      <c r="H15" s="44"/>
      <c r="I15" s="44"/>
    </row>
    <row r="16" spans="1:16" ht="28.5" customHeight="1" x14ac:dyDescent="0.35">
      <c r="A16" s="48" t="s">
        <v>25</v>
      </c>
      <c r="B16" s="3" t="s">
        <v>0</v>
      </c>
      <c r="C16" s="22">
        <v>1E-3</v>
      </c>
      <c r="D16" s="9">
        <v>1.2999999999999999E-2</v>
      </c>
      <c r="E16" s="10">
        <v>1E-3</v>
      </c>
      <c r="F16" s="10">
        <v>1E-3</v>
      </c>
      <c r="G16" s="10">
        <v>1E-3</v>
      </c>
      <c r="H16" s="10">
        <v>1E-3</v>
      </c>
      <c r="I16" s="11">
        <v>1E-3</v>
      </c>
    </row>
    <row r="17" spans="1:9" ht="28.5" customHeight="1" x14ac:dyDescent="0.35">
      <c r="A17" s="48"/>
      <c r="B17" s="3" t="s">
        <v>1</v>
      </c>
      <c r="C17" s="30">
        <v>1E-3</v>
      </c>
      <c r="D17" s="10">
        <v>1E-3</v>
      </c>
      <c r="E17" s="12">
        <v>1E-3</v>
      </c>
      <c r="F17" s="12">
        <v>1E-3</v>
      </c>
      <c r="G17" s="12">
        <v>1E-3</v>
      </c>
      <c r="H17" s="12">
        <v>1E-3</v>
      </c>
      <c r="I17" s="13">
        <v>2E-3</v>
      </c>
    </row>
    <row r="18" spans="1:9" ht="28.5" customHeight="1" x14ac:dyDescent="0.35">
      <c r="A18" s="48"/>
      <c r="B18" s="3" t="s">
        <v>2</v>
      </c>
      <c r="C18" s="30">
        <v>1E-3</v>
      </c>
      <c r="D18" s="12">
        <v>1E-3</v>
      </c>
      <c r="E18" s="12">
        <v>1E-3</v>
      </c>
      <c r="F18" s="12">
        <v>1E-3</v>
      </c>
      <c r="G18" s="12">
        <v>1E-3</v>
      </c>
      <c r="H18" s="12">
        <v>1E-3</v>
      </c>
      <c r="I18" s="13">
        <v>2E-3</v>
      </c>
    </row>
    <row r="19" spans="1:9" ht="28.5" customHeight="1" x14ac:dyDescent="0.35">
      <c r="A19" s="48"/>
      <c r="B19" s="3" t="s">
        <v>3</v>
      </c>
      <c r="C19" s="30">
        <v>1E-3</v>
      </c>
      <c r="D19" s="12">
        <v>1E-3</v>
      </c>
      <c r="E19" s="12">
        <v>1E-3</v>
      </c>
      <c r="F19" s="12">
        <v>1E-3</v>
      </c>
      <c r="G19" s="12">
        <v>1E-3</v>
      </c>
      <c r="H19" s="12">
        <v>1E-3</v>
      </c>
      <c r="I19" s="13">
        <v>2E-3</v>
      </c>
    </row>
    <row r="20" spans="1:9" ht="28.5" customHeight="1" x14ac:dyDescent="0.35">
      <c r="A20" s="48"/>
      <c r="B20" s="3" t="s">
        <v>4</v>
      </c>
      <c r="C20" s="30">
        <v>1E-3</v>
      </c>
      <c r="D20" s="12">
        <v>1E-3</v>
      </c>
      <c r="E20" s="12">
        <v>1E-3</v>
      </c>
      <c r="F20" s="12">
        <v>1E-3</v>
      </c>
      <c r="G20" s="12">
        <v>1E-3</v>
      </c>
      <c r="H20" s="12">
        <v>1E-3</v>
      </c>
      <c r="I20" s="13">
        <v>2E-3</v>
      </c>
    </row>
    <row r="21" spans="1:9" ht="28.5" customHeight="1" x14ac:dyDescent="0.35">
      <c r="A21" s="48"/>
      <c r="B21" s="3" t="s">
        <v>6</v>
      </c>
      <c r="C21" s="30">
        <v>1E-3</v>
      </c>
      <c r="D21" s="12">
        <v>1E-3</v>
      </c>
      <c r="E21" s="12">
        <v>1E-3</v>
      </c>
      <c r="F21" s="12">
        <v>2E-3</v>
      </c>
      <c r="G21" s="12">
        <v>2E-3</v>
      </c>
      <c r="H21" s="12">
        <v>2E-3</v>
      </c>
      <c r="I21" s="13">
        <v>1E-3</v>
      </c>
    </row>
    <row r="22" spans="1:9" ht="28.5" customHeight="1" x14ac:dyDescent="0.35">
      <c r="A22" s="48"/>
      <c r="B22" s="3" t="s">
        <v>5</v>
      </c>
      <c r="C22" s="30">
        <v>1E-3</v>
      </c>
      <c r="D22" s="12">
        <v>1E-3</v>
      </c>
      <c r="E22" s="12">
        <v>1E-3</v>
      </c>
      <c r="F22" s="12">
        <v>1E-3</v>
      </c>
      <c r="G22" s="12">
        <v>1E-3</v>
      </c>
      <c r="H22" s="12">
        <v>1E-3</v>
      </c>
      <c r="I22" s="13">
        <v>2E-3</v>
      </c>
    </row>
    <row r="23" spans="1:9" ht="28.5" customHeight="1" x14ac:dyDescent="0.35">
      <c r="A23" s="48"/>
      <c r="B23" s="3" t="s">
        <v>7</v>
      </c>
      <c r="C23" s="30">
        <v>1E-3</v>
      </c>
      <c r="D23" s="12">
        <v>1E-3</v>
      </c>
      <c r="E23" s="12">
        <v>1E-3</v>
      </c>
      <c r="F23" s="12">
        <v>1E-3</v>
      </c>
      <c r="G23" s="12">
        <v>1E-3</v>
      </c>
      <c r="H23" s="12">
        <v>1E-3</v>
      </c>
      <c r="I23" s="13">
        <v>2E-3</v>
      </c>
    </row>
    <row r="24" spans="1:9" ht="28.5" customHeight="1" x14ac:dyDescent="0.35">
      <c r="A24" s="48"/>
      <c r="B24" s="3" t="s">
        <v>8</v>
      </c>
      <c r="C24" s="39">
        <v>2E-3</v>
      </c>
      <c r="D24" s="12">
        <v>1E-3</v>
      </c>
      <c r="E24" s="12">
        <v>1E-3</v>
      </c>
      <c r="F24" s="12">
        <v>1E-3</v>
      </c>
      <c r="G24" s="12">
        <v>1E-3</v>
      </c>
      <c r="H24" s="12">
        <v>1E-3</v>
      </c>
      <c r="I24" s="13">
        <v>1E-3</v>
      </c>
    </row>
    <row r="25" spans="1:9" ht="28.5" customHeight="1" x14ac:dyDescent="0.35">
      <c r="A25" s="48"/>
      <c r="B25" s="3" t="s">
        <v>9</v>
      </c>
      <c r="C25" s="30">
        <v>1E-3</v>
      </c>
      <c r="D25" s="12">
        <v>1E-3</v>
      </c>
      <c r="E25" s="12">
        <v>1E-3</v>
      </c>
      <c r="F25" s="12">
        <v>1E-3</v>
      </c>
      <c r="G25" s="12">
        <v>1E-3</v>
      </c>
      <c r="H25" s="12">
        <v>1E-3</v>
      </c>
      <c r="I25" s="13">
        <v>2E-3</v>
      </c>
    </row>
    <row r="26" spans="1:9" ht="28.5" customHeight="1" x14ac:dyDescent="0.35">
      <c r="A26" s="48"/>
      <c r="B26" s="3" t="s">
        <v>10</v>
      </c>
      <c r="C26" s="30">
        <v>1E-3</v>
      </c>
      <c r="D26" s="12">
        <v>1E-3</v>
      </c>
      <c r="E26" s="12">
        <v>1E-3</v>
      </c>
      <c r="F26" s="12">
        <v>1E-3</v>
      </c>
      <c r="G26" s="12">
        <v>1E-3</v>
      </c>
      <c r="H26" s="12">
        <v>1E-3</v>
      </c>
      <c r="I26" s="13">
        <v>1E-3</v>
      </c>
    </row>
    <row r="27" spans="1:9" ht="28.5" customHeight="1" x14ac:dyDescent="0.35">
      <c r="A27" s="48"/>
      <c r="B27" s="3" t="s">
        <v>11</v>
      </c>
      <c r="C27" s="30">
        <v>1E-3</v>
      </c>
      <c r="D27" s="12">
        <v>1E-3</v>
      </c>
      <c r="E27" s="12">
        <v>1E-3</v>
      </c>
      <c r="F27" s="12">
        <v>1E-3</v>
      </c>
      <c r="G27" s="12">
        <v>1E-3</v>
      </c>
      <c r="H27" s="12">
        <v>1E-3</v>
      </c>
      <c r="I27" s="13">
        <v>2E-3</v>
      </c>
    </row>
    <row r="28" spans="1:9" ht="28.5" customHeight="1" x14ac:dyDescent="0.35">
      <c r="A28" s="48"/>
      <c r="B28" s="3" t="s">
        <v>12</v>
      </c>
      <c r="C28" s="30">
        <v>1E-3</v>
      </c>
      <c r="D28" s="12">
        <v>2E-3</v>
      </c>
      <c r="E28" s="12">
        <v>2E-3</v>
      </c>
      <c r="F28" s="12">
        <v>1E-3</v>
      </c>
      <c r="G28" s="12">
        <v>1E-3</v>
      </c>
      <c r="H28" s="12">
        <v>1E-3</v>
      </c>
      <c r="I28" s="14">
        <v>2E-3</v>
      </c>
    </row>
    <row r="29" spans="1:9" ht="28.5" customHeight="1" x14ac:dyDescent="0.35">
      <c r="A29" s="48"/>
      <c r="B29" s="3" t="s">
        <v>13</v>
      </c>
      <c r="C29" s="30">
        <v>1E-3</v>
      </c>
      <c r="D29" s="12">
        <v>1E-3</v>
      </c>
      <c r="E29" s="12">
        <v>1E-3</v>
      </c>
      <c r="F29" s="12">
        <v>1E-3</v>
      </c>
      <c r="G29" s="12">
        <v>1E-3</v>
      </c>
      <c r="H29" s="12">
        <v>1E-3</v>
      </c>
      <c r="I29" s="13">
        <v>1E-3</v>
      </c>
    </row>
    <row r="30" spans="1:9" ht="28.5" customHeight="1" x14ac:dyDescent="0.35">
      <c r="A30" s="48"/>
      <c r="B30" s="3" t="s">
        <v>14</v>
      </c>
      <c r="C30" s="30">
        <v>1E-3</v>
      </c>
      <c r="D30" s="12">
        <v>1E-3</v>
      </c>
      <c r="E30" s="9">
        <v>2E-3</v>
      </c>
      <c r="F30" s="12">
        <v>1E-3</v>
      </c>
      <c r="G30" s="12">
        <v>1E-3</v>
      </c>
      <c r="H30" s="9">
        <v>2E-3</v>
      </c>
      <c r="I30" s="13">
        <v>1E-3</v>
      </c>
    </row>
    <row r="31" spans="1:9" ht="28.5" customHeight="1" x14ac:dyDescent="0.35">
      <c r="A31" s="48"/>
      <c r="B31" s="3" t="s">
        <v>15</v>
      </c>
      <c r="C31" s="30">
        <v>1E-3</v>
      </c>
      <c r="D31" s="12">
        <v>1E-3</v>
      </c>
      <c r="E31" s="12">
        <v>1E-3</v>
      </c>
      <c r="F31" s="9">
        <v>2E-3</v>
      </c>
      <c r="G31" s="9">
        <v>2E-3</v>
      </c>
      <c r="H31" s="12">
        <v>1E-3</v>
      </c>
      <c r="I31" s="13">
        <v>1E-3</v>
      </c>
    </row>
    <row r="32" spans="1:9" ht="28.5" customHeight="1" x14ac:dyDescent="0.35">
      <c r="A32" s="48"/>
      <c r="B32" s="3" t="s">
        <v>16</v>
      </c>
      <c r="C32" s="30">
        <v>1E-3</v>
      </c>
      <c r="D32" s="12">
        <v>1E-3</v>
      </c>
      <c r="E32" s="12">
        <v>1E-3</v>
      </c>
      <c r="F32" s="12">
        <v>1E-3</v>
      </c>
      <c r="G32" s="12">
        <v>1E-3</v>
      </c>
      <c r="H32" s="12">
        <v>1E-3</v>
      </c>
      <c r="I32" s="13">
        <v>2E-3</v>
      </c>
    </row>
    <row r="33" spans="1:9" ht="28.5" customHeight="1" x14ac:dyDescent="0.35">
      <c r="A33" s="48"/>
      <c r="B33" s="3" t="s">
        <v>17</v>
      </c>
      <c r="C33" s="30">
        <v>1E-3</v>
      </c>
      <c r="D33" s="12">
        <v>1E-3</v>
      </c>
      <c r="E33" s="12">
        <v>1E-3</v>
      </c>
      <c r="F33" s="12">
        <v>1E-3</v>
      </c>
      <c r="G33" s="12">
        <v>1E-3</v>
      </c>
      <c r="H33" s="12">
        <v>1E-3</v>
      </c>
      <c r="I33" s="13">
        <v>1E-3</v>
      </c>
    </row>
    <row r="34" spans="1:9" ht="28.5" customHeight="1" x14ac:dyDescent="0.35">
      <c r="A34" s="48"/>
      <c r="B34" s="3" t="s">
        <v>18</v>
      </c>
      <c r="C34" s="30">
        <v>1E-3</v>
      </c>
      <c r="D34" s="12">
        <v>1E-3</v>
      </c>
      <c r="E34" s="12">
        <v>1E-3</v>
      </c>
      <c r="F34" s="12">
        <v>1E-3</v>
      </c>
      <c r="G34" s="12">
        <v>1E-3</v>
      </c>
      <c r="H34" s="12">
        <v>2E-3</v>
      </c>
      <c r="I34" s="13">
        <v>1E-3</v>
      </c>
    </row>
    <row r="35" spans="1:9" ht="28.5" customHeight="1" thickBot="1" x14ac:dyDescent="0.4">
      <c r="A35" s="48"/>
      <c r="B35" s="3" t="s">
        <v>19</v>
      </c>
      <c r="C35" s="40">
        <v>2E-3</v>
      </c>
      <c r="D35" s="15">
        <v>1E-3</v>
      </c>
      <c r="E35" s="15">
        <v>1E-3</v>
      </c>
      <c r="F35" s="16">
        <v>1E-3</v>
      </c>
      <c r="G35" s="16">
        <v>1E-3</v>
      </c>
      <c r="H35" s="16">
        <v>1E-3</v>
      </c>
      <c r="I35" s="16">
        <v>1E-3</v>
      </c>
    </row>
    <row r="36" spans="1:9" ht="28.5" customHeight="1" thickTop="1" thickBot="1" x14ac:dyDescent="0.25"/>
    <row r="37" spans="1:9" ht="28.5" customHeight="1" thickTop="1" thickBot="1" x14ac:dyDescent="0.45">
      <c r="A37" s="49" t="s">
        <v>23</v>
      </c>
      <c r="B37" s="50"/>
      <c r="C37" s="4">
        <f>AVERAGE(C17:C23,C25:C35)</f>
        <v>1.0555555555555561E-3</v>
      </c>
      <c r="D37" s="4">
        <f>AVERAGE(D18:D35)</f>
        <v>1.0555555555555559E-3</v>
      </c>
      <c r="E37" s="4">
        <f>AVERAGE(E31:E35,E17:E29)</f>
        <v>1.0555555555555561E-3</v>
      </c>
      <c r="F37" s="4">
        <f>AVERAGE(F32:F35,F17:F30)</f>
        <v>1.0555555555555559E-3</v>
      </c>
      <c r="G37" s="4">
        <f>AVERAGE(G32:G35,G17:G30)</f>
        <v>1.0555555555555559E-3</v>
      </c>
      <c r="H37" s="4">
        <f>AVERAGE(H31:H35,H17:H29)</f>
        <v>1.1111111111111115E-3</v>
      </c>
      <c r="I37" s="4">
        <f>AVERAGE(I29:I35,I17:I27)</f>
        <v>1.5000000000000005E-3</v>
      </c>
    </row>
    <row r="38" spans="1:9" ht="28.5" customHeight="1" thickTop="1" thickBot="1" x14ac:dyDescent="0.25"/>
    <row r="39" spans="1:9" ht="28.5" customHeight="1" thickTop="1" thickBot="1" x14ac:dyDescent="0.45">
      <c r="A39" s="41" t="s">
        <v>22</v>
      </c>
      <c r="B39" s="42"/>
      <c r="C39" s="4">
        <f>ABS(MAX(C16:C35)-C37)</f>
        <v>9.4444444444444393E-4</v>
      </c>
      <c r="D39" s="38">
        <f>ABS(MAX(D16:D35)-D37)</f>
        <v>1.1944444444444443E-2</v>
      </c>
      <c r="E39" s="4">
        <f>ABS(MAX(E17:E35)-E16)</f>
        <v>1E-3</v>
      </c>
      <c r="F39" s="4">
        <f>ABS(MAX(F16:F35)-F37)</f>
        <v>9.4444444444444415E-4</v>
      </c>
      <c r="G39" s="4">
        <f>ABS(MAX(G16:G35)-G37)</f>
        <v>9.4444444444444415E-4</v>
      </c>
      <c r="H39" s="4">
        <f>ABS(MAX(H16:H35)-H37)</f>
        <v>8.888888888888885E-4</v>
      </c>
      <c r="I39" s="4">
        <f>ABS(MAX(I16:I35)-I37)</f>
        <v>4.9999999999999958E-4</v>
      </c>
    </row>
    <row r="40" spans="1:9" ht="28.5" customHeight="1" thickTop="1" x14ac:dyDescent="0.2"/>
    <row r="45" spans="1:9" ht="28.5" customHeight="1" thickBot="1" x14ac:dyDescent="0.25"/>
    <row r="46" spans="1:9" ht="28.5" customHeight="1" thickTop="1" thickBot="1" x14ac:dyDescent="0.4">
      <c r="B46" s="1"/>
      <c r="C46" s="45" t="s">
        <v>30</v>
      </c>
      <c r="D46" s="45"/>
      <c r="E46" s="45" t="s">
        <v>29</v>
      </c>
      <c r="F46" s="45"/>
      <c r="G46" s="45" t="s">
        <v>31</v>
      </c>
      <c r="H46" s="45"/>
    </row>
    <row r="47" spans="1:9" ht="28.5" customHeight="1" thickTop="1" x14ac:dyDescent="0.2">
      <c r="C47" s="46" t="s">
        <v>20</v>
      </c>
      <c r="D47" s="43" t="s">
        <v>21</v>
      </c>
      <c r="E47" s="46" t="s">
        <v>20</v>
      </c>
      <c r="F47" s="43" t="s">
        <v>21</v>
      </c>
      <c r="G47" s="46" t="s">
        <v>20</v>
      </c>
      <c r="H47" s="43" t="s">
        <v>21</v>
      </c>
      <c r="I47" s="43" t="s">
        <v>24</v>
      </c>
    </row>
    <row r="48" spans="1:9" ht="28.5" customHeight="1" x14ac:dyDescent="0.2">
      <c r="C48" s="47"/>
      <c r="D48" s="44"/>
      <c r="E48" s="47"/>
      <c r="F48" s="44"/>
      <c r="G48" s="47"/>
      <c r="H48" s="44"/>
      <c r="I48" s="44"/>
    </row>
    <row r="49" spans="1:9" ht="28.5" customHeight="1" x14ac:dyDescent="0.35">
      <c r="A49" s="48" t="s">
        <v>26</v>
      </c>
      <c r="B49" s="3" t="s">
        <v>0</v>
      </c>
      <c r="C49" s="19">
        <v>6.7089999999999996</v>
      </c>
      <c r="D49" s="7">
        <v>130.428</v>
      </c>
      <c r="E49" s="17">
        <v>0.77</v>
      </c>
      <c r="F49" s="7">
        <v>0.76400000000000001</v>
      </c>
      <c r="G49" s="17">
        <v>0.77900000000000003</v>
      </c>
      <c r="H49" s="7">
        <v>0.746</v>
      </c>
      <c r="I49" s="25">
        <v>0.625</v>
      </c>
    </row>
    <row r="50" spans="1:9" ht="28.5" customHeight="1" x14ac:dyDescent="0.35">
      <c r="A50" s="48"/>
      <c r="B50" s="3" t="s">
        <v>1</v>
      </c>
      <c r="C50" s="17">
        <v>5.5679999999999996</v>
      </c>
      <c r="D50" s="7">
        <v>126.187</v>
      </c>
      <c r="E50" s="17">
        <v>0.71299999999999997</v>
      </c>
      <c r="F50" s="7">
        <v>0.79200000000000004</v>
      </c>
      <c r="G50" s="17">
        <v>0.74099999999999999</v>
      </c>
      <c r="H50" s="7">
        <v>0.73099999999999998</v>
      </c>
      <c r="I50" s="27">
        <v>0.81399999999999995</v>
      </c>
    </row>
    <row r="51" spans="1:9" ht="28.5" customHeight="1" x14ac:dyDescent="0.35">
      <c r="A51" s="48"/>
      <c r="B51" s="3" t="s">
        <v>2</v>
      </c>
      <c r="C51" s="17">
        <v>5.0960000000000001</v>
      </c>
      <c r="D51" s="7">
        <v>125.41500000000001</v>
      </c>
      <c r="E51" s="17">
        <v>0.77600000000000002</v>
      </c>
      <c r="F51" s="7">
        <v>0.79400000000000004</v>
      </c>
      <c r="G51" s="17">
        <v>0.79900000000000004</v>
      </c>
      <c r="H51" s="7">
        <v>0.79700000000000004</v>
      </c>
      <c r="I51" s="25">
        <v>0.80600000000000005</v>
      </c>
    </row>
    <row r="52" spans="1:9" ht="28.5" customHeight="1" x14ac:dyDescent="0.35">
      <c r="A52" s="48"/>
      <c r="B52" s="3" t="s">
        <v>3</v>
      </c>
      <c r="C52" s="17">
        <v>5.1239999999999997</v>
      </c>
      <c r="D52" s="7">
        <v>127.414</v>
      </c>
      <c r="E52" s="17">
        <v>0.67200000000000004</v>
      </c>
      <c r="F52" s="7">
        <v>0.67700000000000005</v>
      </c>
      <c r="G52" s="17">
        <v>0.72799999999999998</v>
      </c>
      <c r="H52" s="7">
        <v>0.755</v>
      </c>
      <c r="I52" s="28">
        <v>0.61299999999999999</v>
      </c>
    </row>
    <row r="53" spans="1:9" ht="28.5" customHeight="1" x14ac:dyDescent="0.35">
      <c r="A53" s="48"/>
      <c r="B53" s="3" t="s">
        <v>4</v>
      </c>
      <c r="C53" s="17">
        <v>5.3019999999999996</v>
      </c>
      <c r="D53" s="7">
        <v>127.004</v>
      </c>
      <c r="E53" s="17">
        <v>0.69399999999999995</v>
      </c>
      <c r="F53" s="5">
        <v>0.85299999999999998</v>
      </c>
      <c r="G53" s="17">
        <v>0.70099999999999996</v>
      </c>
      <c r="H53" s="7">
        <v>0.81599999999999995</v>
      </c>
      <c r="I53" s="25">
        <v>0.79800000000000004</v>
      </c>
    </row>
    <row r="54" spans="1:9" ht="28.5" customHeight="1" x14ac:dyDescent="0.35">
      <c r="A54" s="48"/>
      <c r="B54" s="3" t="s">
        <v>6</v>
      </c>
      <c r="C54" s="17">
        <v>5.3090000000000002</v>
      </c>
      <c r="D54" s="7">
        <v>126.929</v>
      </c>
      <c r="E54" s="17">
        <v>0.81499999999999995</v>
      </c>
      <c r="F54" s="23">
        <v>0.59499999999999997</v>
      </c>
      <c r="G54" s="17">
        <v>0.63300000000000001</v>
      </c>
      <c r="H54" s="7">
        <v>0.74299999999999999</v>
      </c>
      <c r="I54" s="25">
        <v>0.76800000000000002</v>
      </c>
    </row>
    <row r="55" spans="1:9" ht="28.5" customHeight="1" x14ac:dyDescent="0.35">
      <c r="A55" s="48"/>
      <c r="B55" s="3" t="s">
        <v>5</v>
      </c>
      <c r="C55" s="17">
        <v>5.1310000000000002</v>
      </c>
      <c r="D55" s="7">
        <v>125.82</v>
      </c>
      <c r="E55" s="17">
        <v>0.75600000000000001</v>
      </c>
      <c r="F55" s="7">
        <v>0.74099999999999999</v>
      </c>
      <c r="G55" s="17">
        <v>0.755</v>
      </c>
      <c r="H55" s="7">
        <v>0.77400000000000002</v>
      </c>
      <c r="I55" s="25">
        <v>0.70799999999999996</v>
      </c>
    </row>
    <row r="56" spans="1:9" ht="28.5" customHeight="1" x14ac:dyDescent="0.35">
      <c r="A56" s="48"/>
      <c r="B56" s="3" t="s">
        <v>7</v>
      </c>
      <c r="C56" s="20">
        <v>4.9029999999999996</v>
      </c>
      <c r="D56" s="7">
        <v>125.732</v>
      </c>
      <c r="E56" s="19">
        <v>0.88</v>
      </c>
      <c r="F56" s="7">
        <v>0.83799999999999997</v>
      </c>
      <c r="G56" s="17">
        <v>0.747</v>
      </c>
      <c r="H56" s="7">
        <v>0.79500000000000004</v>
      </c>
      <c r="I56" s="25">
        <v>0.74299999999999999</v>
      </c>
    </row>
    <row r="57" spans="1:9" ht="28.5" customHeight="1" x14ac:dyDescent="0.35">
      <c r="A57" s="48"/>
      <c r="B57" s="3" t="s">
        <v>8</v>
      </c>
      <c r="C57" s="17">
        <v>5.4850000000000003</v>
      </c>
      <c r="D57" s="7">
        <v>125.711</v>
      </c>
      <c r="E57" s="17">
        <v>0.70599999999999996</v>
      </c>
      <c r="F57" s="7">
        <v>0.74099999999999999</v>
      </c>
      <c r="G57" s="17">
        <v>0.70699999999999996</v>
      </c>
      <c r="H57" s="7">
        <v>0.73599999999999999</v>
      </c>
      <c r="I57" s="25">
        <v>0.68700000000000006</v>
      </c>
    </row>
    <row r="58" spans="1:9" ht="28.5" customHeight="1" x14ac:dyDescent="0.35">
      <c r="A58" s="48"/>
      <c r="B58" s="3" t="s">
        <v>9</v>
      </c>
      <c r="C58" s="17">
        <v>5.2549999999999999</v>
      </c>
      <c r="D58" s="7">
        <v>125.501</v>
      </c>
      <c r="E58" s="17">
        <v>0.78200000000000003</v>
      </c>
      <c r="F58" s="7">
        <v>0.82699999999999996</v>
      </c>
      <c r="G58" s="17">
        <v>0.71399999999999997</v>
      </c>
      <c r="H58" s="5">
        <v>1.1160000000000001</v>
      </c>
      <c r="I58" s="25">
        <v>0.72</v>
      </c>
    </row>
    <row r="59" spans="1:9" ht="28.5" customHeight="1" x14ac:dyDescent="0.35">
      <c r="A59" s="48"/>
      <c r="B59" s="3" t="s">
        <v>10</v>
      </c>
      <c r="C59" s="17">
        <v>5.0469999999999997</v>
      </c>
      <c r="D59" s="7">
        <v>125.623</v>
      </c>
      <c r="E59" s="17">
        <v>0.65600000000000003</v>
      </c>
      <c r="F59" s="7">
        <v>0.83699999999999997</v>
      </c>
      <c r="G59" s="17">
        <v>0.751</v>
      </c>
      <c r="H59" s="24">
        <v>0.63900000000000001</v>
      </c>
      <c r="I59" s="25">
        <v>0.72599999999999998</v>
      </c>
    </row>
    <row r="60" spans="1:9" ht="28.5" customHeight="1" x14ac:dyDescent="0.35">
      <c r="A60" s="48"/>
      <c r="B60" s="3" t="s">
        <v>11</v>
      </c>
      <c r="C60" s="17">
        <v>5.0970000000000004</v>
      </c>
      <c r="D60" s="6">
        <v>124.961</v>
      </c>
      <c r="E60" s="17">
        <v>0.75900000000000001</v>
      </c>
      <c r="F60" s="7">
        <v>0.77700000000000002</v>
      </c>
      <c r="G60" s="17">
        <v>0.73599999999999999</v>
      </c>
      <c r="H60" s="7">
        <v>0.76</v>
      </c>
      <c r="I60" s="25">
        <v>0.625</v>
      </c>
    </row>
    <row r="61" spans="1:9" ht="28.5" customHeight="1" x14ac:dyDescent="0.35">
      <c r="A61" s="48"/>
      <c r="B61" s="3" t="s">
        <v>12</v>
      </c>
      <c r="C61" s="17">
        <v>5.07</v>
      </c>
      <c r="D61" s="7">
        <v>125.771</v>
      </c>
      <c r="E61" s="17">
        <v>0.67600000000000005</v>
      </c>
      <c r="F61" s="7">
        <v>0.76300000000000001</v>
      </c>
      <c r="G61" s="17">
        <v>0.69699999999999995</v>
      </c>
      <c r="H61" s="7">
        <v>0.76100000000000001</v>
      </c>
      <c r="I61" s="25">
        <v>0.77400000000000002</v>
      </c>
    </row>
    <row r="62" spans="1:9" ht="28.5" customHeight="1" x14ac:dyDescent="0.35">
      <c r="A62" s="48"/>
      <c r="B62" s="3" t="s">
        <v>13</v>
      </c>
      <c r="C62" s="17">
        <v>5.2039999999999997</v>
      </c>
      <c r="D62" s="7">
        <v>126.395</v>
      </c>
      <c r="E62" s="17">
        <v>0.81499999999999995</v>
      </c>
      <c r="F62" s="7">
        <v>0.746</v>
      </c>
      <c r="G62" s="17">
        <v>0.76600000000000001</v>
      </c>
      <c r="H62" s="7">
        <v>0.70799999999999996</v>
      </c>
      <c r="I62" s="25">
        <v>0.72199999999999998</v>
      </c>
    </row>
    <row r="63" spans="1:9" ht="28.5" customHeight="1" x14ac:dyDescent="0.35">
      <c r="A63" s="48"/>
      <c r="B63" s="3" t="s">
        <v>14</v>
      </c>
      <c r="C63" s="17">
        <v>5.1369999999999996</v>
      </c>
      <c r="D63" s="5">
        <v>139.221</v>
      </c>
      <c r="E63" s="17">
        <v>0.83299999999999996</v>
      </c>
      <c r="F63" s="7">
        <v>0.71799999999999997</v>
      </c>
      <c r="G63" s="19">
        <v>0.81899999999999995</v>
      </c>
      <c r="H63" s="7">
        <v>0.74099999999999999</v>
      </c>
      <c r="I63" s="25">
        <v>0.77</v>
      </c>
    </row>
    <row r="64" spans="1:9" ht="28.5" customHeight="1" x14ac:dyDescent="0.35">
      <c r="A64" s="48"/>
      <c r="B64" s="3" t="s">
        <v>15</v>
      </c>
      <c r="C64" s="17">
        <v>4.9909999999999997</v>
      </c>
      <c r="D64" s="7">
        <v>127.134</v>
      </c>
      <c r="E64" s="21">
        <v>0.65100000000000002</v>
      </c>
      <c r="F64" s="7">
        <v>0.69099999999999995</v>
      </c>
      <c r="G64" s="22">
        <v>0.55800000000000005</v>
      </c>
      <c r="H64" s="7">
        <v>0.74199999999999999</v>
      </c>
      <c r="I64" s="25">
        <v>0.66700000000000004</v>
      </c>
    </row>
    <row r="65" spans="1:9" ht="28.5" customHeight="1" x14ac:dyDescent="0.35">
      <c r="A65" s="48"/>
      <c r="B65" s="3" t="s">
        <v>16</v>
      </c>
      <c r="C65" s="17">
        <v>4.9610000000000003</v>
      </c>
      <c r="D65" s="7">
        <v>126.39</v>
      </c>
      <c r="E65" s="17">
        <v>0.746</v>
      </c>
      <c r="F65" s="7">
        <v>0.71799999999999997</v>
      </c>
      <c r="G65" s="17">
        <v>0.63200000000000001</v>
      </c>
      <c r="H65" s="7">
        <v>0.83499999999999996</v>
      </c>
      <c r="I65" s="25">
        <v>0.72899999999999998</v>
      </c>
    </row>
    <row r="66" spans="1:9" ht="28.5" customHeight="1" x14ac:dyDescent="0.35">
      <c r="A66" s="48"/>
      <c r="B66" s="3" t="s">
        <v>17</v>
      </c>
      <c r="C66" s="17">
        <v>5.0510000000000002</v>
      </c>
      <c r="D66" s="7">
        <v>128.03299999999999</v>
      </c>
      <c r="E66" s="17">
        <v>0.70499999999999996</v>
      </c>
      <c r="F66" s="7">
        <v>0.77800000000000002</v>
      </c>
      <c r="G66" s="17">
        <v>0.76500000000000001</v>
      </c>
      <c r="H66" s="7">
        <v>0.72899999999999998</v>
      </c>
      <c r="I66" s="25">
        <v>0.81299999999999994</v>
      </c>
    </row>
    <row r="67" spans="1:9" ht="28.5" customHeight="1" x14ac:dyDescent="0.35">
      <c r="A67" s="48"/>
      <c r="B67" s="3" t="s">
        <v>18</v>
      </c>
      <c r="C67" s="17">
        <v>4.9320000000000004</v>
      </c>
      <c r="D67" s="7">
        <v>125.75700000000001</v>
      </c>
      <c r="E67" s="17">
        <v>0.71199999999999997</v>
      </c>
      <c r="F67" s="7">
        <v>0.84099999999999997</v>
      </c>
      <c r="G67" s="17">
        <v>0.69199999999999995</v>
      </c>
      <c r="H67" s="7">
        <v>0.68799999999999994</v>
      </c>
      <c r="I67" s="25">
        <v>0.67100000000000004</v>
      </c>
    </row>
    <row r="68" spans="1:9" ht="28.5" customHeight="1" thickBot="1" x14ac:dyDescent="0.4">
      <c r="A68" s="48"/>
      <c r="B68" s="3" t="s">
        <v>19</v>
      </c>
      <c r="C68" s="18">
        <v>5.173</v>
      </c>
      <c r="D68" s="8">
        <v>126.01900000000001</v>
      </c>
      <c r="E68" s="18">
        <v>0.76300000000000001</v>
      </c>
      <c r="F68" s="8">
        <v>0.8</v>
      </c>
      <c r="G68" s="18">
        <v>0.78700000000000003</v>
      </c>
      <c r="H68" s="8">
        <v>0.78900000000000003</v>
      </c>
      <c r="I68" s="26">
        <v>0.755</v>
      </c>
    </row>
    <row r="69" spans="1:9" ht="28.5" customHeight="1" thickTop="1" thickBot="1" x14ac:dyDescent="0.25"/>
    <row r="70" spans="1:9" ht="28.5" customHeight="1" thickTop="1" thickBot="1" x14ac:dyDescent="0.45">
      <c r="A70" s="49" t="s">
        <v>23</v>
      </c>
      <c r="B70" s="50"/>
      <c r="C70" s="4">
        <f>AVERAGE(C50:C55,C57:C68)</f>
        <v>5.1629444444444452</v>
      </c>
      <c r="D70" s="4">
        <f>AVERAGE(D49:D59,D64:D68,D61:D62)</f>
        <v>126.51461111111111</v>
      </c>
      <c r="E70" s="4">
        <f>AVERAGE(E49:E55,E65:E68,E57:E63)</f>
        <v>0.74161111111111111</v>
      </c>
      <c r="F70" s="4">
        <f>AVERAGE(F49:F52,F55:F68)</f>
        <v>0.7690555555555556</v>
      </c>
      <c r="G70" s="4">
        <f>AVERAGE(G49:G62,G65:G68)</f>
        <v>0.72944444444444445</v>
      </c>
      <c r="H70" s="4">
        <f>AVERAGE(H49:H57,H60:H68)</f>
        <v>0.75811111111111118</v>
      </c>
      <c r="I70" s="4">
        <f>AVERAGE(I49,I53:I68,I51)</f>
        <v>0.72816666666666663</v>
      </c>
    </row>
    <row r="71" spans="1:9" ht="28.5" customHeight="1" thickTop="1" thickBot="1" x14ac:dyDescent="0.25"/>
    <row r="72" spans="1:9" ht="28.5" customHeight="1" thickTop="1" thickBot="1" x14ac:dyDescent="0.45">
      <c r="A72" s="41" t="s">
        <v>22</v>
      </c>
      <c r="B72" s="42"/>
      <c r="C72" s="4" cm="1">
        <f t="array" ref="C72">MAX(ABS(C50:C55-C70),ABS(C57:C68-C70))</f>
        <v>0.40505555555555439</v>
      </c>
      <c r="D72" s="4" cm="1">
        <f t="array" ref="D72">MAX(ABS(D49:D59-D70),ABS(D64:D68-D70),ABS(D61:D62-D70))</f>
        <v>3.913388888888889</v>
      </c>
      <c r="E72" s="4" cm="1">
        <f t="array" ref="E72">MAX(ABS(E49:E55-E70),ABS(E65:E68-E70),ABS(E57:E63-E70))</f>
        <v>9.1388888888888853E-2</v>
      </c>
      <c r="F72" s="4" cm="1">
        <f t="array" ref="F72">MAX(ABS(F49:F52-F70),ABS(F55:F68-F70))</f>
        <v>9.2055555555555557E-2</v>
      </c>
      <c r="G72" s="4" cm="1">
        <f t="array" ref="G72">MAX(ABS(G49:G62-G70),ABS(G65:G68-G70))</f>
        <v>9.7444444444444445E-2</v>
      </c>
      <c r="H72" s="4" cm="1">
        <f t="array" ref="H72">MAX(ABS(H49:H57-H70),ABS(H60:H68-H70))</f>
        <v>7.6888888888888784E-2</v>
      </c>
      <c r="I72" s="4" cm="1">
        <f t="array" ref="I72">MAX(ABS(I49-I70),ABS(I53:I68-I70),ABS(I51-I70))</f>
        <v>0.10316666666666663</v>
      </c>
    </row>
    <row r="73" spans="1:9" ht="28.5" customHeight="1" thickTop="1" x14ac:dyDescent="0.2"/>
    <row r="80" spans="1:9" ht="28.5" customHeight="1" thickBot="1" x14ac:dyDescent="0.25"/>
    <row r="81" spans="1:9" ht="28.5" customHeight="1" thickTop="1" thickBot="1" x14ac:dyDescent="0.4">
      <c r="B81" s="1"/>
      <c r="C81" s="45" t="s">
        <v>30</v>
      </c>
      <c r="D81" s="45"/>
      <c r="E81" s="45" t="s">
        <v>29</v>
      </c>
      <c r="F81" s="45"/>
      <c r="G81" s="45" t="s">
        <v>31</v>
      </c>
      <c r="H81" s="45"/>
    </row>
    <row r="82" spans="1:9" ht="28.5" customHeight="1" thickTop="1" x14ac:dyDescent="0.2">
      <c r="C82" s="46" t="s">
        <v>20</v>
      </c>
      <c r="D82" s="43" t="s">
        <v>21</v>
      </c>
      <c r="E82" s="46" t="s">
        <v>20</v>
      </c>
      <c r="F82" s="43" t="s">
        <v>21</v>
      </c>
      <c r="G82" s="46" t="s">
        <v>20</v>
      </c>
      <c r="H82" s="43" t="s">
        <v>21</v>
      </c>
      <c r="I82" s="43" t="s">
        <v>24</v>
      </c>
    </row>
    <row r="83" spans="1:9" ht="28.5" customHeight="1" x14ac:dyDescent="0.2">
      <c r="C83" s="47"/>
      <c r="D83" s="44"/>
      <c r="E83" s="47"/>
      <c r="F83" s="44"/>
      <c r="G83" s="47"/>
      <c r="H83" s="44"/>
      <c r="I83" s="44"/>
    </row>
    <row r="84" spans="1:9" ht="28.5" customHeight="1" x14ac:dyDescent="0.35">
      <c r="A84" s="48" t="s">
        <v>27</v>
      </c>
      <c r="B84" s="3" t="s">
        <v>0</v>
      </c>
      <c r="C84" s="17">
        <v>61.256999999999998</v>
      </c>
      <c r="D84" s="7">
        <v>1341.5809999999999</v>
      </c>
      <c r="E84" s="17">
        <v>3.4079999999999999</v>
      </c>
      <c r="F84" s="23">
        <v>8.4009999999999998</v>
      </c>
      <c r="G84" s="21">
        <v>3.3039999999999998</v>
      </c>
      <c r="H84" s="7">
        <v>5.5039999999999996</v>
      </c>
      <c r="I84" s="25">
        <v>2.964</v>
      </c>
    </row>
    <row r="85" spans="1:9" ht="28.5" customHeight="1" x14ac:dyDescent="0.35">
      <c r="A85" s="48"/>
      <c r="B85" s="3" t="s">
        <v>1</v>
      </c>
      <c r="C85" s="17">
        <v>61.552999999999997</v>
      </c>
      <c r="D85" s="29">
        <v>1360.2550000000001</v>
      </c>
      <c r="E85" s="31">
        <v>3.6909999999999998</v>
      </c>
      <c r="F85" s="7">
        <v>10.000999999999999</v>
      </c>
      <c r="G85" s="17">
        <v>3.7570000000000001</v>
      </c>
      <c r="H85" s="7">
        <v>5.798</v>
      </c>
      <c r="I85" s="25">
        <v>2.7050000000000001</v>
      </c>
    </row>
    <row r="86" spans="1:9" ht="28.5" customHeight="1" x14ac:dyDescent="0.35">
      <c r="A86" s="48"/>
      <c r="B86" s="3" t="s">
        <v>2</v>
      </c>
      <c r="C86" s="17">
        <v>61.981000000000002</v>
      </c>
      <c r="D86" s="7">
        <v>1291.1300000000001</v>
      </c>
      <c r="E86" s="34">
        <v>3.3319999999999999</v>
      </c>
      <c r="F86" s="7">
        <v>8.4459999999999997</v>
      </c>
      <c r="G86" s="17">
        <v>3.387</v>
      </c>
      <c r="H86" s="7">
        <v>5.4770000000000003</v>
      </c>
      <c r="I86" s="27">
        <v>3.6659999999999999</v>
      </c>
    </row>
    <row r="87" spans="1:9" ht="28.5" customHeight="1" x14ac:dyDescent="0.35">
      <c r="A87" s="48"/>
      <c r="B87" s="3" t="s">
        <v>3</v>
      </c>
      <c r="C87" s="17">
        <v>61.655999999999999</v>
      </c>
      <c r="D87" s="23">
        <v>136.38999999999999</v>
      </c>
      <c r="E87" s="31">
        <v>3.6240000000000001</v>
      </c>
      <c r="F87" s="7">
        <v>9.1920000000000002</v>
      </c>
      <c r="G87" s="17">
        <v>3.7149999999999999</v>
      </c>
      <c r="H87" s="7">
        <v>5.8390000000000004</v>
      </c>
      <c r="I87" s="37">
        <v>2.6989999999999998</v>
      </c>
    </row>
    <row r="88" spans="1:9" ht="28.5" customHeight="1" x14ac:dyDescent="0.35">
      <c r="A88" s="48"/>
      <c r="B88" s="3" t="s">
        <v>4</v>
      </c>
      <c r="C88" s="17">
        <v>60.622999999999998</v>
      </c>
      <c r="D88" s="7">
        <v>1296.3019999999999</v>
      </c>
      <c r="E88" s="31">
        <v>3.3849999999999998</v>
      </c>
      <c r="F88" s="7">
        <v>9.0530000000000008</v>
      </c>
      <c r="G88" s="17">
        <v>3.4209999999999998</v>
      </c>
      <c r="H88" s="7">
        <v>5.4420000000000002</v>
      </c>
      <c r="I88" s="25">
        <v>3.4820000000000002</v>
      </c>
    </row>
    <row r="89" spans="1:9" ht="28.5" customHeight="1" x14ac:dyDescent="0.35">
      <c r="A89" s="48"/>
      <c r="B89" s="3" t="s">
        <v>6</v>
      </c>
      <c r="C89" s="17">
        <v>60.95</v>
      </c>
      <c r="D89" s="7">
        <v>1297.3119999999999</v>
      </c>
      <c r="E89" s="31">
        <v>3.5840000000000001</v>
      </c>
      <c r="F89" s="7">
        <v>9.7249999999999996</v>
      </c>
      <c r="G89" s="19">
        <v>3.7890000000000001</v>
      </c>
      <c r="H89" s="7">
        <v>5.8280000000000003</v>
      </c>
      <c r="I89" s="25">
        <v>2.9460000000000002</v>
      </c>
    </row>
    <row r="90" spans="1:9" ht="28.5" customHeight="1" x14ac:dyDescent="0.35">
      <c r="A90" s="48"/>
      <c r="B90" s="3" t="s">
        <v>5</v>
      </c>
      <c r="C90" s="17">
        <v>59.695</v>
      </c>
      <c r="D90" s="7">
        <v>1293.51</v>
      </c>
      <c r="E90" s="31">
        <v>3.4369999999999998</v>
      </c>
      <c r="F90" s="7">
        <v>9.6609999999999996</v>
      </c>
      <c r="G90" s="17">
        <v>3.4729999999999999</v>
      </c>
      <c r="H90" s="7">
        <v>5.492</v>
      </c>
      <c r="I90" s="25">
        <v>3.4420000000000002</v>
      </c>
    </row>
    <row r="91" spans="1:9" ht="28.5" customHeight="1" x14ac:dyDescent="0.35">
      <c r="A91" s="48"/>
      <c r="B91" s="3" t="s">
        <v>7</v>
      </c>
      <c r="C91" s="17">
        <v>60.335999999999999</v>
      </c>
      <c r="D91" s="7">
        <v>1308.1559999999999</v>
      </c>
      <c r="E91" s="31">
        <v>3.6930000000000001</v>
      </c>
      <c r="F91" s="7">
        <v>9.5340000000000007</v>
      </c>
      <c r="G91" s="17">
        <v>3.69</v>
      </c>
      <c r="H91" s="7">
        <v>5.7960000000000003</v>
      </c>
      <c r="I91" s="25">
        <v>2.9340000000000002</v>
      </c>
    </row>
    <row r="92" spans="1:9" ht="28.5" customHeight="1" x14ac:dyDescent="0.35">
      <c r="A92" s="48"/>
      <c r="B92" s="3" t="s">
        <v>8</v>
      </c>
      <c r="C92" s="17">
        <v>60.232999999999997</v>
      </c>
      <c r="D92" s="7">
        <v>1354.92</v>
      </c>
      <c r="E92" s="31">
        <v>3.4430000000000001</v>
      </c>
      <c r="F92" s="7">
        <v>8.718</v>
      </c>
      <c r="G92" s="17">
        <v>3.4660000000000002</v>
      </c>
      <c r="H92" s="7">
        <v>5.476</v>
      </c>
      <c r="I92" s="25">
        <v>3.5139999999999998</v>
      </c>
    </row>
    <row r="93" spans="1:9" ht="28.5" customHeight="1" x14ac:dyDescent="0.35">
      <c r="A93" s="48"/>
      <c r="B93" s="3" t="s">
        <v>9</v>
      </c>
      <c r="C93" s="17">
        <v>61.832999999999998</v>
      </c>
      <c r="D93" s="7">
        <v>1354.925</v>
      </c>
      <c r="E93" s="31">
        <v>3.6040000000000001</v>
      </c>
      <c r="F93" s="7">
        <v>9.2850000000000001</v>
      </c>
      <c r="G93" s="17">
        <v>3.72</v>
      </c>
      <c r="H93" s="7">
        <v>5.8289999999999997</v>
      </c>
      <c r="I93" s="25">
        <v>2.871</v>
      </c>
    </row>
    <row r="94" spans="1:9" ht="28.5" customHeight="1" x14ac:dyDescent="0.35">
      <c r="A94" s="48"/>
      <c r="B94" s="3" t="s">
        <v>10</v>
      </c>
      <c r="C94" s="17">
        <v>60.036999999999999</v>
      </c>
      <c r="D94" s="7">
        <v>1338.9369999999999</v>
      </c>
      <c r="E94" s="31">
        <v>3.4750000000000001</v>
      </c>
      <c r="F94" s="7">
        <v>9.3179999999999996</v>
      </c>
      <c r="G94" s="17">
        <v>3.411</v>
      </c>
      <c r="H94" s="7">
        <v>5.5259999999999998</v>
      </c>
      <c r="I94" s="25">
        <v>3.45</v>
      </c>
    </row>
    <row r="95" spans="1:9" ht="28.5" customHeight="1" x14ac:dyDescent="0.35">
      <c r="A95" s="48"/>
      <c r="B95" s="3" t="s">
        <v>11</v>
      </c>
      <c r="C95" s="17">
        <v>60.191000000000003</v>
      </c>
      <c r="D95" s="7">
        <v>1334.7170000000001</v>
      </c>
      <c r="E95" s="31">
        <v>3.6640000000000001</v>
      </c>
      <c r="F95" s="7">
        <v>9.0790000000000006</v>
      </c>
      <c r="G95" s="17">
        <v>3.7770000000000001</v>
      </c>
      <c r="H95" s="7">
        <v>5.9130000000000003</v>
      </c>
      <c r="I95" s="25">
        <v>2.8809999999999998</v>
      </c>
    </row>
    <row r="96" spans="1:9" ht="28.5" customHeight="1" x14ac:dyDescent="0.35">
      <c r="A96" s="48"/>
      <c r="B96" s="3" t="s">
        <v>12</v>
      </c>
      <c r="C96" s="17">
        <v>59.875999999999998</v>
      </c>
      <c r="D96" s="7">
        <v>1353.8920000000001</v>
      </c>
      <c r="E96" s="31">
        <v>3.488</v>
      </c>
      <c r="F96" s="7">
        <v>8.9410000000000007</v>
      </c>
      <c r="G96" s="17">
        <v>3.423</v>
      </c>
      <c r="H96" s="7">
        <v>5.4669999999999996</v>
      </c>
      <c r="I96" s="25">
        <v>2.8639999999999999</v>
      </c>
    </row>
    <row r="97" spans="1:10" ht="28.5" customHeight="1" x14ac:dyDescent="0.35">
      <c r="A97" s="48"/>
      <c r="B97" s="3" t="s">
        <v>13</v>
      </c>
      <c r="C97" s="17">
        <v>60.3</v>
      </c>
      <c r="D97" s="7">
        <v>1373.837</v>
      </c>
      <c r="E97" s="31">
        <v>3.657</v>
      </c>
      <c r="F97" s="7">
        <v>9.3940000000000001</v>
      </c>
      <c r="G97" s="17">
        <v>3.5880000000000001</v>
      </c>
      <c r="H97" s="7">
        <v>5.9770000000000003</v>
      </c>
      <c r="I97" s="25">
        <v>3.456</v>
      </c>
    </row>
    <row r="98" spans="1:10" ht="28.5" customHeight="1" x14ac:dyDescent="0.35">
      <c r="A98" s="48"/>
      <c r="B98" s="3" t="s">
        <v>14</v>
      </c>
      <c r="C98" s="17">
        <v>60.683999999999997</v>
      </c>
      <c r="D98" s="7">
        <v>1343.0450000000001</v>
      </c>
      <c r="E98" s="31">
        <v>3.5619999999999998</v>
      </c>
      <c r="F98" s="7">
        <v>9.1620000000000008</v>
      </c>
      <c r="G98" s="17">
        <v>3.36</v>
      </c>
      <c r="H98" s="7">
        <v>5.5410000000000004</v>
      </c>
      <c r="I98" s="25">
        <v>2.8650000000000002</v>
      </c>
    </row>
    <row r="99" spans="1:10" ht="28.5" customHeight="1" x14ac:dyDescent="0.35">
      <c r="A99" s="48"/>
      <c r="B99" s="3" t="s">
        <v>15</v>
      </c>
      <c r="C99" s="17">
        <v>60.420999999999999</v>
      </c>
      <c r="D99" s="5">
        <v>1394.8520000000001</v>
      </c>
      <c r="E99" s="35">
        <v>3.7210000000000001</v>
      </c>
      <c r="F99" s="5">
        <v>10.272</v>
      </c>
      <c r="G99" s="17">
        <v>3.66</v>
      </c>
      <c r="H99" s="7">
        <v>5.03</v>
      </c>
      <c r="I99" s="25">
        <v>3.4359999999999999</v>
      </c>
    </row>
    <row r="100" spans="1:10" ht="28.5" customHeight="1" x14ac:dyDescent="0.35">
      <c r="A100" s="48"/>
      <c r="B100" s="3" t="s">
        <v>16</v>
      </c>
      <c r="C100" s="19">
        <v>66.153999999999996</v>
      </c>
      <c r="D100" s="7">
        <v>1391.739</v>
      </c>
      <c r="E100" s="31">
        <v>3.597</v>
      </c>
      <c r="F100" s="7">
        <v>9.4960000000000004</v>
      </c>
      <c r="G100" s="17">
        <v>3.387</v>
      </c>
      <c r="H100" s="5">
        <v>6.407</v>
      </c>
      <c r="I100" s="25">
        <v>2.9940000000000002</v>
      </c>
    </row>
    <row r="101" spans="1:10" ht="28.5" customHeight="1" x14ac:dyDescent="0.35">
      <c r="A101" s="48"/>
      <c r="B101" s="3" t="s">
        <v>17</v>
      </c>
      <c r="C101" s="17">
        <v>59.962000000000003</v>
      </c>
      <c r="D101" s="7">
        <v>1348.296</v>
      </c>
      <c r="E101" s="31">
        <v>3.677</v>
      </c>
      <c r="F101" s="7">
        <v>9.1969999999999992</v>
      </c>
      <c r="G101" s="17">
        <v>3.6850000000000001</v>
      </c>
      <c r="H101" s="23">
        <v>4.9989999999999997</v>
      </c>
      <c r="I101" s="25">
        <v>3.4569999999999999</v>
      </c>
    </row>
    <row r="102" spans="1:10" ht="28.5" customHeight="1" x14ac:dyDescent="0.35">
      <c r="A102" s="48"/>
      <c r="B102" s="3" t="s">
        <v>18</v>
      </c>
      <c r="C102" s="17">
        <v>58.932000000000002</v>
      </c>
      <c r="D102" s="7">
        <v>1311.12</v>
      </c>
      <c r="E102" s="31">
        <v>3.512</v>
      </c>
      <c r="F102" s="7">
        <v>9.0690000000000008</v>
      </c>
      <c r="G102" s="17">
        <v>3.3839999999999999</v>
      </c>
      <c r="H102" s="7">
        <v>6.3170000000000002</v>
      </c>
      <c r="I102" s="25">
        <v>2.891</v>
      </c>
    </row>
    <row r="103" spans="1:10" ht="28.5" customHeight="1" thickBot="1" x14ac:dyDescent="0.4">
      <c r="A103" s="48"/>
      <c r="B103" s="3" t="s">
        <v>19</v>
      </c>
      <c r="C103" s="33">
        <v>58.841999999999999</v>
      </c>
      <c r="D103" s="8">
        <v>1350.0060000000001</v>
      </c>
      <c r="E103" s="32">
        <v>3.6589999999999998</v>
      </c>
      <c r="F103" s="8">
        <v>9.4390000000000001</v>
      </c>
      <c r="G103" s="18">
        <v>3.778</v>
      </c>
      <c r="H103" s="8">
        <v>5.0289999999999999</v>
      </c>
      <c r="I103" s="26">
        <v>3.4369999999999998</v>
      </c>
    </row>
    <row r="104" spans="1:10" ht="28.5" customHeight="1" thickTop="1" thickBot="1" x14ac:dyDescent="0.25"/>
    <row r="105" spans="1:10" ht="28.5" customHeight="1" thickTop="1" thickBot="1" x14ac:dyDescent="0.45">
      <c r="A105" s="49" t="s">
        <v>23</v>
      </c>
      <c r="B105" s="50"/>
      <c r="C105" s="4">
        <f>AVERAGE(C101:C102,C84:C99)</f>
        <v>60.584444444444443</v>
      </c>
      <c r="D105" s="4">
        <f>AVERAGE(D100:D103,D88:D98,D84:D86)</f>
        <v>1335.76</v>
      </c>
      <c r="E105" s="4">
        <f>AVERAGE(E100:E103,E87:E98,E84:E85)</f>
        <v>3.5644444444444443</v>
      </c>
      <c r="F105" s="4">
        <f>AVERAGE(F100:F103,F87:F98,F85:F86)</f>
        <v>9.2616666666666667</v>
      </c>
      <c r="G105" s="4">
        <f>AVERAGE(G100:G103,G90:G99,G85:G88)</f>
        <v>3.5601111111111114</v>
      </c>
      <c r="H105" s="4">
        <f>AVERAGE(H102:H103,H89:H99,H84:H88)</f>
        <v>5.6267222222222228</v>
      </c>
      <c r="I105" s="4">
        <f>AVERAGE(I102:I103,I88:I101,I84:I85)</f>
        <v>3.1438333333333333</v>
      </c>
    </row>
    <row r="106" spans="1:10" ht="28.5" customHeight="1" thickTop="1" thickBot="1" x14ac:dyDescent="0.25">
      <c r="F106" s="36"/>
    </row>
    <row r="107" spans="1:10" ht="28.5" customHeight="1" thickTop="1" thickBot="1" x14ac:dyDescent="0.45">
      <c r="A107" s="41" t="s">
        <v>22</v>
      </c>
      <c r="B107" s="42"/>
      <c r="C107" s="4" cm="1">
        <f t="array" ref="C107">MAX(ABS(C101:C102-C105),ABS(C84:C99-C70))</f>
        <v>56.81805555555556</v>
      </c>
      <c r="D107" s="4" cm="1">
        <f t="array" ref="D107">MAX(ABS(D100:D103-D105),ABS(D88:D98-D70),ABS(D84:D86))</f>
        <v>1360.2550000000001</v>
      </c>
      <c r="E107" s="4" cm="1">
        <f t="array" ref="E107">MAX(ABS(E100:E103-E105),ABS(E87:E98-E70),ABS(E84:E85))</f>
        <v>3.6909999999999998</v>
      </c>
      <c r="F107" s="4" cm="1">
        <f t="array" ref="F107">MAX(ABS(F100:F103-F105),ABS(F87:F98-F70),ABS(F85:F86))</f>
        <v>10.000999999999999</v>
      </c>
      <c r="G107" s="4" cm="1">
        <f t="array" ref="G107">MAX(ABS(G100:G103-G105),ABS(G90:G99-G70),ABS(G85:G88))</f>
        <v>3.7570000000000001</v>
      </c>
      <c r="H107" s="4" cm="1">
        <f t="array" ref="H107">MAX(ABS(H102:H103-H105),ABS(H89:H99-H70),ABS(H84:H88))</f>
        <v>5.8390000000000004</v>
      </c>
      <c r="I107" s="4" cm="1">
        <f t="array" ref="I107">MAX(ABS(I102:I103-I105),ABS(I88:I101-I70),ABS(I84:I85))</f>
        <v>2.964</v>
      </c>
    </row>
    <row r="108" spans="1:10" ht="28.5" customHeight="1" thickTop="1" x14ac:dyDescent="0.2"/>
    <row r="109" spans="1:10" ht="28.5" customHeight="1" x14ac:dyDescent="0.2">
      <c r="J109" s="36"/>
    </row>
  </sheetData>
  <mergeCells count="40">
    <mergeCell ref="C3:I12"/>
    <mergeCell ref="G14:G15"/>
    <mergeCell ref="H14:H15"/>
    <mergeCell ref="G13:H13"/>
    <mergeCell ref="A37:B37"/>
    <mergeCell ref="C13:D13"/>
    <mergeCell ref="E13:F13"/>
    <mergeCell ref="A39:B39"/>
    <mergeCell ref="C14:C15"/>
    <mergeCell ref="D14:D15"/>
    <mergeCell ref="E14:E15"/>
    <mergeCell ref="F14:F15"/>
    <mergeCell ref="A16:A35"/>
    <mergeCell ref="A84:A103"/>
    <mergeCell ref="A105:B105"/>
    <mergeCell ref="C46:D46"/>
    <mergeCell ref="E46:F46"/>
    <mergeCell ref="G46:H46"/>
    <mergeCell ref="C47:C48"/>
    <mergeCell ref="D47:D48"/>
    <mergeCell ref="E47:E48"/>
    <mergeCell ref="G47:G48"/>
    <mergeCell ref="H47:H48"/>
    <mergeCell ref="G82:G83"/>
    <mergeCell ref="A107:B107"/>
    <mergeCell ref="I14:I15"/>
    <mergeCell ref="I47:I48"/>
    <mergeCell ref="I82:I83"/>
    <mergeCell ref="C81:D81"/>
    <mergeCell ref="E81:F81"/>
    <mergeCell ref="G81:H81"/>
    <mergeCell ref="C82:C83"/>
    <mergeCell ref="D82:D83"/>
    <mergeCell ref="E82:E83"/>
    <mergeCell ref="F82:F83"/>
    <mergeCell ref="H82:H83"/>
    <mergeCell ref="F47:F48"/>
    <mergeCell ref="A49:A68"/>
    <mergeCell ref="A70:B70"/>
    <mergeCell ref="A72:B72"/>
  </mergeCells>
  <conditionalFormatting sqref="H84:I103">
    <cfRule type="cellIs" dxfId="1" priority="1" operator="equal">
      <formula>MAX($C$16:$C$35)</formula>
    </cfRule>
    <cfRule type="cellIs" dxfId="0" priority="2" operator="equal">
      <formula>MIN(H$16:H$35)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 Miklin (bmiklin)</cp:lastModifiedBy>
  <dcterms:created xsi:type="dcterms:W3CDTF">2015-06-05T18:19:34Z</dcterms:created>
  <dcterms:modified xsi:type="dcterms:W3CDTF">2025-11-03T08:54:15Z</dcterms:modified>
</cp:coreProperties>
</file>